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zpis podle pokojů" sheetId="1" state="visible" r:id="rId1"/>
    <sheet xmlns:r="http://schemas.openxmlformats.org/officeDocument/2006/relationships" name="Rozpis podle služeb" sheetId="2" state="visible" r:id="rId2"/>
    <sheet xmlns:r="http://schemas.openxmlformats.org/officeDocument/2006/relationships" name="Náplň služeb a pravid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D.MM."/>
  </numFmts>
  <fonts count="16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262626"/>
      <sz val="10"/>
    </font>
    <font>
      <name val="Segoe UI"/>
      <b val="1"/>
      <color rgb="001F4E79"/>
      <sz val="10"/>
    </font>
    <font>
      <name val="Segoe UI"/>
      <color rgb="00595959"/>
      <sz val="9"/>
    </font>
    <font>
      <name val="Segoe UI"/>
      <b val="1"/>
      <color rgb="00FFFFFF"/>
      <sz val="10"/>
    </font>
    <font>
      <name val="Segoe UI"/>
      <b val="1"/>
      <color rgb="001B365D"/>
      <sz val="10"/>
    </font>
    <font>
      <name val="Segoe UI"/>
      <b val="1"/>
      <color rgb="00276A3C"/>
      <sz val="10"/>
    </font>
    <font>
      <name val="Segoe UI"/>
      <b val="1"/>
      <color rgb="00833C0C"/>
      <sz val="10"/>
    </font>
    <font>
      <name val="Segoe UI"/>
      <b val="1"/>
      <color rgb="00443266"/>
      <sz val="10"/>
    </font>
    <font>
      <name val="Segoe UI"/>
      <color rgb="00262626"/>
      <sz val="10"/>
    </font>
    <font>
      <name val="Segoe UI"/>
      <b val="1"/>
      <color rgb="001F4E79"/>
      <sz val="11"/>
    </font>
    <font>
      <name val="Segoe UI"/>
      <b val="1"/>
      <color rgb="002E75B6"/>
      <sz val="11"/>
    </font>
    <font>
      <name val="Segoe UI"/>
      <b val="1"/>
      <color rgb="00FFFFFF"/>
      <sz val="11"/>
    </font>
    <font>
      <name val="Segoe UI"/>
      <b val="1"/>
      <color rgb="00D9534F"/>
      <sz val="10"/>
    </font>
  </fonts>
  <fills count="1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3838"/>
        <bgColor rgb="003B383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F7"/>
        <bgColor rgb="00EDEDF7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2F5597"/>
        <bgColor rgb="002F5597"/>
      </patternFill>
    </fill>
    <fill>
      <patternFill patternType="solid">
        <fgColor rgb="00116355"/>
        <bgColor rgb="00116355"/>
      </patternFill>
    </fill>
    <fill>
      <patternFill patternType="solid">
        <fgColor rgb="00EBF1F5"/>
        <bgColor rgb="00EBF1F5"/>
      </patternFill>
    </fill>
    <fill>
      <patternFill patternType="solid">
        <fgColor rgb="001F4E79"/>
        <bgColor rgb="001F4E79"/>
      </patternFill>
    </fill>
  </fills>
  <borders count="3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41719C"/>
      </left>
      <right style="thin">
        <color rgb="0041719C"/>
      </right>
      <top style="thin">
        <color rgb="0041719C"/>
      </top>
      <bottom style="medium">
        <color rgb="001F4E79"/>
      </bottom>
    </border>
    <border>
      <left style="medium">
        <color rgb="001F4E79"/>
      </left>
      <top style="thin">
        <color rgb="00BDD7EE"/>
      </top>
      <bottom style="thin">
        <color rgb="00BDD7EE"/>
      </bottom>
    </border>
    <border>
      <top style="thin">
        <color rgb="00BDD7EE"/>
      </top>
      <bottom style="thin">
        <color rgb="00BDD7EE"/>
      </bottom>
    </border>
    <border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1F4E79"/>
      </left>
    </border>
    <border>
      <right style="thin">
        <color rgb="00BDD7EE"/>
      </right>
    </border>
    <border>
      <left style="medium">
        <color rgb="001F4E79"/>
      </left>
      <top style="thin">
        <color rgb="00BDD7EE"/>
      </top>
    </border>
    <border>
      <top style="thin">
        <color rgb="00BDD7EE"/>
      </top>
    </border>
    <border>
      <right style="thin">
        <color rgb="00BDD7EE"/>
      </right>
      <top style="thin">
        <color rgb="00BDD7EE"/>
      </top>
    </border>
    <border>
      <left style="medium">
        <color rgb="001F4E79"/>
      </left>
      <top style="thin">
        <color rgb="00C6E0B4"/>
      </top>
      <bottom style="thin">
        <color rgb="00C6E0B4"/>
      </bottom>
    </border>
    <border>
      <top style="thin">
        <color rgb="00C6E0B4"/>
      </top>
      <bottom style="thin">
        <color rgb="00C6E0B4"/>
      </bottom>
    </border>
    <border>
      <right style="thin">
        <color rgb="00C6E0B4"/>
      </right>
      <top style="thin">
        <color rgb="00C6E0B4"/>
      </top>
      <bottom style="thin">
        <color rgb="00C6E0B4"/>
      </bottom>
    </border>
    <border>
      <right style="thin">
        <color rgb="00C6E0B4"/>
      </right>
    </border>
    <border>
      <left style="medium">
        <color rgb="001F4E79"/>
      </left>
      <top style="thin">
        <color rgb="00C6E0B4"/>
      </top>
    </border>
    <border>
      <top style="thin">
        <color rgb="00C6E0B4"/>
      </top>
    </border>
    <border>
      <right style="thin">
        <color rgb="00C6E0B4"/>
      </right>
      <top style="thin">
        <color rgb="00C6E0B4"/>
      </top>
    </border>
    <border>
      <left style="medium">
        <color rgb="001F4E79"/>
      </left>
      <top style="thin">
        <color rgb="00F8CBAD"/>
      </top>
      <bottom style="thin">
        <color rgb="00F8CBAD"/>
      </bottom>
    </border>
    <border>
      <top style="thin">
        <color rgb="00F8CBAD"/>
      </top>
      <bottom style="thin">
        <color rgb="00F8CBAD"/>
      </bottom>
    </border>
    <border>
      <right style="thin">
        <color rgb="00F8CBAD"/>
      </right>
      <top style="thin">
        <color rgb="00F8CBAD"/>
      </top>
      <bottom style="thin">
        <color rgb="00F8CBAD"/>
      </bottom>
    </border>
    <border>
      <right style="thin">
        <color rgb="00F8CBAD"/>
      </right>
    </border>
    <border>
      <left style="medium">
        <color rgb="001F4E79"/>
      </left>
      <top style="thin">
        <color rgb="00F8CBAD"/>
      </top>
    </border>
    <border>
      <top style="thin">
        <color rgb="00F8CBAD"/>
      </top>
    </border>
    <border>
      <right style="thin">
        <color rgb="00F8CBAD"/>
      </right>
      <top style="thin">
        <color rgb="00F8CBAD"/>
      </top>
    </border>
    <border>
      <left style="medium">
        <color rgb="001F4E79"/>
      </left>
      <top style="thin">
        <color rgb="00D0CEE5"/>
      </top>
      <bottom style="thin">
        <color rgb="00D0CEE5"/>
      </bottom>
    </border>
    <border>
      <top style="thin">
        <color rgb="00D0CEE5"/>
      </top>
      <bottom style="thin">
        <color rgb="00D0CEE5"/>
      </bottom>
    </border>
    <border>
      <right style="thin">
        <color rgb="00D0CEE5"/>
      </right>
      <top style="thin">
        <color rgb="00D0CEE5"/>
      </top>
      <bottom style="thin">
        <color rgb="00D0CEE5"/>
      </bottom>
    </border>
    <border>
      <right style="thin">
        <color rgb="00D0CEE5"/>
      </right>
    </border>
    <border>
      <left style="medium">
        <color rgb="001F4E79"/>
      </left>
      <top style="thin">
        <color rgb="00D0CEE5"/>
      </top>
    </border>
    <border>
      <top style="thin">
        <color rgb="00D0CEE5"/>
      </top>
    </border>
    <border>
      <right style="thin">
        <color rgb="00D0CEE5"/>
      </right>
      <top style="thin">
        <color rgb="00D0CEE5"/>
      </top>
    </border>
    <border>
      <left style="medium">
        <color rgb="001F4E79"/>
      </left>
      <top style="thin">
        <color rgb="00FFE699"/>
      </top>
      <bottom style="thin">
        <color rgb="00FFE699"/>
      </bottom>
    </border>
    <border>
      <top style="thin">
        <color rgb="00FFE699"/>
      </top>
      <bottom style="thin">
        <color rgb="00FFE699"/>
      </bottom>
    </border>
    <border>
      <right style="thin">
        <color rgb="00FFE699"/>
      </right>
      <top style="thin">
        <color rgb="00FFE699"/>
      </top>
      <bottom style="thin">
        <color rgb="00FFE699"/>
      </bottom>
    </border>
    <border>
      <right style="thin">
        <color rgb="00FFE699"/>
      </right>
    </border>
    <border>
      <left style="medium">
        <color rgb="001F4E79"/>
      </left>
      <top style="thin">
        <color rgb="00FFE699"/>
      </top>
    </border>
    <border>
      <top style="thin">
        <color rgb="00FFE699"/>
      </top>
    </border>
    <border>
      <right style="thin">
        <color rgb="00FFE699"/>
      </right>
      <top style="thin">
        <color rgb="00FFE699"/>
      </top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5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5" fontId="11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166" fontId="11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6" fontId="11" fillId="9" borderId="1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3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5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2" fillId="6" borderId="18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12" fillId="7" borderId="25" applyAlignment="1" pivotButton="0" quotePrefix="0" xfId="0">
      <alignment horizontal="left" vertical="center" inden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12" fillId="12" borderId="3" applyAlignment="1" pivotButton="0" quotePrefix="0" xfId="0">
      <alignment horizontal="left" vertical="center" indent="1"/>
    </xf>
    <xf numFmtId="0" fontId="12" fillId="2" borderId="32" applyAlignment="1" pivotButton="0" quotePrefix="0" xfId="0">
      <alignment horizontal="left" vertical="center" indent="1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4" fillId="13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4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6" customHeight="1">
      <c r="A1" s="1" t="inlineStr">
        <is>
          <t>🏠 TÝDENNÍ ROZPIS ÚKLIDOVÝCH SLUŽEB NA BYTĚ</t>
        </is>
      </c>
    </row>
    <row r="2" ht="18" customHeight="1">
      <c r="A2" s="2" t="inlineStr">
        <is>
          <t>4 pokoje • 4 společné služby (Schody, Kuchyň, Odpadky, Předsíň) • Koupelna &amp; WC po dvojicích (P1+P2 a P3+P4)</t>
        </is>
      </c>
    </row>
    <row r="4" ht="20" customHeight="1">
      <c r="A4" s="3" t="inlineStr">
        <is>
          <t>Datum začátku:</t>
        </is>
      </c>
      <c r="B4" s="4" t="n">
        <v>46300</v>
      </c>
      <c r="C4" s="5" t="inlineStr">
        <is>
          <t>← Zadáním nového data pondělí se automaticky přepočítá celý rok (všechny dny v tabulce)</t>
        </is>
      </c>
    </row>
    <row r="6" ht="32" customHeight="1">
      <c r="A6" s="6" t="inlineStr">
        <is>
          <t>Týden</t>
        </is>
      </c>
      <c r="B6" s="6" t="inlineStr">
        <is>
          <t>Od (Po)</t>
        </is>
      </c>
      <c r="C6" s="6" t="inlineStr">
        <is>
          <t>Do (Ne)</t>
        </is>
      </c>
      <c r="D6" s="7" t="inlineStr">
        <is>
          <t>Pokoj 1
(Společné + Koup/WC)</t>
        </is>
      </c>
      <c r="E6" s="8" t="inlineStr">
        <is>
          <t>Pokoj 2
(Společné + Koup/WC)</t>
        </is>
      </c>
      <c r="F6" s="9" t="inlineStr">
        <is>
          <t>Pokoj 3
(Společné + Koup/WC)</t>
        </is>
      </c>
      <c r="G6" s="10" t="inlineStr">
        <is>
          <t>Pokoj 4
(Společné + Koup/WC)</t>
        </is>
      </c>
    </row>
    <row r="7" ht="24" customHeight="1">
      <c r="A7" s="11" t="inlineStr">
        <is>
          <t>Týden 1</t>
        </is>
      </c>
      <c r="B7" s="12">
        <f>$B$4 + (0*7)</f>
        <v/>
      </c>
      <c r="C7" s="12">
        <f>B7 + 6</f>
        <v/>
      </c>
      <c r="D7" s="13" t="inlineStr">
        <is>
          <t>Schody  +  Koupelna</t>
        </is>
      </c>
      <c r="E7" s="13" t="inlineStr">
        <is>
          <t>Kuchyň  +  WC</t>
        </is>
      </c>
      <c r="F7" s="13" t="inlineStr">
        <is>
          <t>Odpadky  +  Koupelna</t>
        </is>
      </c>
      <c r="G7" s="13" t="inlineStr">
        <is>
          <t>Předsíň  +  WC</t>
        </is>
      </c>
    </row>
    <row r="8" ht="24" customHeight="1">
      <c r="A8" s="14" t="inlineStr">
        <is>
          <t>Týden 2</t>
        </is>
      </c>
      <c r="B8" s="15">
        <f>$B$4 + (1*7)</f>
        <v/>
      </c>
      <c r="C8" s="15">
        <f>B8 + 6</f>
        <v/>
      </c>
      <c r="D8" s="16" t="inlineStr">
        <is>
          <t>Předsíň  +  WC</t>
        </is>
      </c>
      <c r="E8" s="16" t="inlineStr">
        <is>
          <t>Schody  +  Koupelna</t>
        </is>
      </c>
      <c r="F8" s="16" t="inlineStr">
        <is>
          <t>Kuchyň  +  WC</t>
        </is>
      </c>
      <c r="G8" s="16" t="inlineStr">
        <is>
          <t>Odpadky  +  Koupelna</t>
        </is>
      </c>
    </row>
    <row r="9" ht="24" customHeight="1">
      <c r="A9" s="11" t="inlineStr">
        <is>
          <t>Týden 3</t>
        </is>
      </c>
      <c r="B9" s="12">
        <f>$B$4 + (2*7)</f>
        <v/>
      </c>
      <c r="C9" s="12">
        <f>B9 + 6</f>
        <v/>
      </c>
      <c r="D9" s="13" t="inlineStr">
        <is>
          <t>Odpadky  +  Koupelna</t>
        </is>
      </c>
      <c r="E9" s="13" t="inlineStr">
        <is>
          <t>Předsíň  +  WC</t>
        </is>
      </c>
      <c r="F9" s="13" t="inlineStr">
        <is>
          <t>Schody  +  Koupelna</t>
        </is>
      </c>
      <c r="G9" s="13" t="inlineStr">
        <is>
          <t>Kuchyň  +  WC</t>
        </is>
      </c>
    </row>
    <row r="10" ht="24" customHeight="1">
      <c r="A10" s="14" t="inlineStr">
        <is>
          <t>Týden 4</t>
        </is>
      </c>
      <c r="B10" s="15">
        <f>$B$4 + (3*7)</f>
        <v/>
      </c>
      <c r="C10" s="15">
        <f>B10 + 6</f>
        <v/>
      </c>
      <c r="D10" s="16" t="inlineStr">
        <is>
          <t>Kuchyň  +  WC</t>
        </is>
      </c>
      <c r="E10" s="16" t="inlineStr">
        <is>
          <t>Odpadky  +  Koupelna</t>
        </is>
      </c>
      <c r="F10" s="16" t="inlineStr">
        <is>
          <t>Předsíň  +  WC</t>
        </is>
      </c>
      <c r="G10" s="16" t="inlineStr">
        <is>
          <t>Schody  +  Koupelna</t>
        </is>
      </c>
    </row>
    <row r="11" ht="24" customHeight="1">
      <c r="A11" s="11" t="inlineStr">
        <is>
          <t>Týden 5</t>
        </is>
      </c>
      <c r="B11" s="12">
        <f>$B$4 + (4*7)</f>
        <v/>
      </c>
      <c r="C11" s="12">
        <f>B11 + 6</f>
        <v/>
      </c>
      <c r="D11" s="13" t="inlineStr">
        <is>
          <t>Schody  +  Koupelna</t>
        </is>
      </c>
      <c r="E11" s="13" t="inlineStr">
        <is>
          <t>Kuchyň  +  WC</t>
        </is>
      </c>
      <c r="F11" s="13" t="inlineStr">
        <is>
          <t>Odpadky  +  Koupelna</t>
        </is>
      </c>
      <c r="G11" s="13" t="inlineStr">
        <is>
          <t>Předsíň  +  WC</t>
        </is>
      </c>
    </row>
    <row r="12" ht="24" customHeight="1">
      <c r="A12" s="14" t="inlineStr">
        <is>
          <t>Týden 6</t>
        </is>
      </c>
      <c r="B12" s="15">
        <f>$B$4 + (5*7)</f>
        <v/>
      </c>
      <c r="C12" s="15">
        <f>B12 + 6</f>
        <v/>
      </c>
      <c r="D12" s="16" t="inlineStr">
        <is>
          <t>Předsíň  +  WC</t>
        </is>
      </c>
      <c r="E12" s="16" t="inlineStr">
        <is>
          <t>Schody  +  Koupelna</t>
        </is>
      </c>
      <c r="F12" s="16" t="inlineStr">
        <is>
          <t>Kuchyň  +  WC</t>
        </is>
      </c>
      <c r="G12" s="16" t="inlineStr">
        <is>
          <t>Odpadky  +  Koupelna</t>
        </is>
      </c>
    </row>
    <row r="13" ht="24" customHeight="1">
      <c r="A13" s="11" t="inlineStr">
        <is>
          <t>Týden 7</t>
        </is>
      </c>
      <c r="B13" s="12">
        <f>$B$4 + (6*7)</f>
        <v/>
      </c>
      <c r="C13" s="12">
        <f>B13 + 6</f>
        <v/>
      </c>
      <c r="D13" s="13" t="inlineStr">
        <is>
          <t>Odpadky  +  Koupelna</t>
        </is>
      </c>
      <c r="E13" s="13" t="inlineStr">
        <is>
          <t>Předsíň  +  WC</t>
        </is>
      </c>
      <c r="F13" s="13" t="inlineStr">
        <is>
          <t>Schody  +  Koupelna</t>
        </is>
      </c>
      <c r="G13" s="13" t="inlineStr">
        <is>
          <t>Kuchyň  +  WC</t>
        </is>
      </c>
    </row>
    <row r="14" ht="24" customHeight="1">
      <c r="A14" s="14" t="inlineStr">
        <is>
          <t>Týden 8</t>
        </is>
      </c>
      <c r="B14" s="15">
        <f>$B$4 + (7*7)</f>
        <v/>
      </c>
      <c r="C14" s="15">
        <f>B14 + 6</f>
        <v/>
      </c>
      <c r="D14" s="16" t="inlineStr">
        <is>
          <t>Kuchyň  +  WC</t>
        </is>
      </c>
      <c r="E14" s="16" t="inlineStr">
        <is>
          <t>Odpadky  +  Koupelna</t>
        </is>
      </c>
      <c r="F14" s="16" t="inlineStr">
        <is>
          <t>Předsíň  +  WC</t>
        </is>
      </c>
      <c r="G14" s="16" t="inlineStr">
        <is>
          <t>Schody  +  Koupelna</t>
        </is>
      </c>
    </row>
    <row r="15" ht="24" customHeight="1">
      <c r="A15" s="11" t="inlineStr">
        <is>
          <t>Týden 9</t>
        </is>
      </c>
      <c r="B15" s="12">
        <f>$B$4 + (8*7)</f>
        <v/>
      </c>
      <c r="C15" s="12">
        <f>B15 + 6</f>
        <v/>
      </c>
      <c r="D15" s="13" t="inlineStr">
        <is>
          <t>Schody  +  Koupelna</t>
        </is>
      </c>
      <c r="E15" s="13" t="inlineStr">
        <is>
          <t>Kuchyň  +  WC</t>
        </is>
      </c>
      <c r="F15" s="13" t="inlineStr">
        <is>
          <t>Odpadky  +  Koupelna</t>
        </is>
      </c>
      <c r="G15" s="13" t="inlineStr">
        <is>
          <t>Předsíň  +  WC</t>
        </is>
      </c>
    </row>
    <row r="16" ht="24" customHeight="1">
      <c r="A16" s="14" t="inlineStr">
        <is>
          <t>Týden 10</t>
        </is>
      </c>
      <c r="B16" s="15">
        <f>$B$4 + (9*7)</f>
        <v/>
      </c>
      <c r="C16" s="15">
        <f>B16 + 6</f>
        <v/>
      </c>
      <c r="D16" s="16" t="inlineStr">
        <is>
          <t>Předsíň  +  WC</t>
        </is>
      </c>
      <c r="E16" s="16" t="inlineStr">
        <is>
          <t>Schody  +  Koupelna</t>
        </is>
      </c>
      <c r="F16" s="16" t="inlineStr">
        <is>
          <t>Kuchyň  +  WC</t>
        </is>
      </c>
      <c r="G16" s="16" t="inlineStr">
        <is>
          <t>Odpadky  +  Koupelna</t>
        </is>
      </c>
    </row>
    <row r="17" ht="24" customHeight="1">
      <c r="A17" s="11" t="inlineStr">
        <is>
          <t>Týden 11</t>
        </is>
      </c>
      <c r="B17" s="12">
        <f>$B$4 + (10*7)</f>
        <v/>
      </c>
      <c r="C17" s="12">
        <f>B17 + 6</f>
        <v/>
      </c>
      <c r="D17" s="13" t="inlineStr">
        <is>
          <t>Odpadky  +  Koupelna</t>
        </is>
      </c>
      <c r="E17" s="13" t="inlineStr">
        <is>
          <t>Předsíň  +  WC</t>
        </is>
      </c>
      <c r="F17" s="13" t="inlineStr">
        <is>
          <t>Schody  +  Koupelna</t>
        </is>
      </c>
      <c r="G17" s="13" t="inlineStr">
        <is>
          <t>Kuchyň  +  WC</t>
        </is>
      </c>
    </row>
    <row r="18" ht="24" customHeight="1">
      <c r="A18" s="14" t="inlineStr">
        <is>
          <t>Týden 12</t>
        </is>
      </c>
      <c r="B18" s="15">
        <f>$B$4 + (11*7)</f>
        <v/>
      </c>
      <c r="C18" s="15">
        <f>B18 + 6</f>
        <v/>
      </c>
      <c r="D18" s="16" t="inlineStr">
        <is>
          <t>Kuchyň  +  WC</t>
        </is>
      </c>
      <c r="E18" s="16" t="inlineStr">
        <is>
          <t>Odpadky  +  Koupelna</t>
        </is>
      </c>
      <c r="F18" s="16" t="inlineStr">
        <is>
          <t>Předsíň  +  WC</t>
        </is>
      </c>
      <c r="G18" s="16" t="inlineStr">
        <is>
          <t>Schody  +  Koupelna</t>
        </is>
      </c>
    </row>
    <row r="19" ht="24" customHeight="1">
      <c r="A19" s="11" t="inlineStr">
        <is>
          <t>Týden 13</t>
        </is>
      </c>
      <c r="B19" s="12">
        <f>$B$4 + (12*7)</f>
        <v/>
      </c>
      <c r="C19" s="12">
        <f>B19 + 6</f>
        <v/>
      </c>
      <c r="D19" s="13" t="inlineStr">
        <is>
          <t>Schody  +  Koupelna</t>
        </is>
      </c>
      <c r="E19" s="13" t="inlineStr">
        <is>
          <t>Kuchyň  +  WC</t>
        </is>
      </c>
      <c r="F19" s="13" t="inlineStr">
        <is>
          <t>Odpadky  +  Koupelna</t>
        </is>
      </c>
      <c r="G19" s="13" t="inlineStr">
        <is>
          <t>Předsíň  +  WC</t>
        </is>
      </c>
    </row>
    <row r="20" ht="24" customHeight="1">
      <c r="A20" s="14" t="inlineStr">
        <is>
          <t>Týden 14</t>
        </is>
      </c>
      <c r="B20" s="15">
        <f>$B$4 + (13*7)</f>
        <v/>
      </c>
      <c r="C20" s="15">
        <f>B20 + 6</f>
        <v/>
      </c>
      <c r="D20" s="16" t="inlineStr">
        <is>
          <t>Předsíň  +  WC</t>
        </is>
      </c>
      <c r="E20" s="16" t="inlineStr">
        <is>
          <t>Schody  +  Koupelna</t>
        </is>
      </c>
      <c r="F20" s="16" t="inlineStr">
        <is>
          <t>Kuchyň  +  WC</t>
        </is>
      </c>
      <c r="G20" s="16" t="inlineStr">
        <is>
          <t>Odpadky  +  Koupelna</t>
        </is>
      </c>
    </row>
    <row r="21" ht="24" customHeight="1">
      <c r="A21" s="11" t="inlineStr">
        <is>
          <t>Týden 15</t>
        </is>
      </c>
      <c r="B21" s="12">
        <f>$B$4 + (14*7)</f>
        <v/>
      </c>
      <c r="C21" s="12">
        <f>B21 + 6</f>
        <v/>
      </c>
      <c r="D21" s="13" t="inlineStr">
        <is>
          <t>Odpadky  +  Koupelna</t>
        </is>
      </c>
      <c r="E21" s="13" t="inlineStr">
        <is>
          <t>Předsíň  +  WC</t>
        </is>
      </c>
      <c r="F21" s="13" t="inlineStr">
        <is>
          <t>Schody  +  Koupelna</t>
        </is>
      </c>
      <c r="G21" s="13" t="inlineStr">
        <is>
          <t>Kuchyň  +  WC</t>
        </is>
      </c>
    </row>
    <row r="22" ht="24" customHeight="1">
      <c r="A22" s="14" t="inlineStr">
        <is>
          <t>Týden 16</t>
        </is>
      </c>
      <c r="B22" s="15">
        <f>$B$4 + (15*7)</f>
        <v/>
      </c>
      <c r="C22" s="15">
        <f>B22 + 6</f>
        <v/>
      </c>
      <c r="D22" s="16" t="inlineStr">
        <is>
          <t>Kuchyň  +  WC</t>
        </is>
      </c>
      <c r="E22" s="16" t="inlineStr">
        <is>
          <t>Odpadky  +  Koupelna</t>
        </is>
      </c>
      <c r="F22" s="16" t="inlineStr">
        <is>
          <t>Předsíň  +  WC</t>
        </is>
      </c>
      <c r="G22" s="16" t="inlineStr">
        <is>
          <t>Schody  +  Koupelna</t>
        </is>
      </c>
    </row>
    <row r="23" ht="24" customHeight="1">
      <c r="A23" s="11" t="inlineStr">
        <is>
          <t>Týden 17</t>
        </is>
      </c>
      <c r="B23" s="12">
        <f>$B$4 + (16*7)</f>
        <v/>
      </c>
      <c r="C23" s="12">
        <f>B23 + 6</f>
        <v/>
      </c>
      <c r="D23" s="13" t="inlineStr">
        <is>
          <t>Schody  +  Koupelna</t>
        </is>
      </c>
      <c r="E23" s="13" t="inlineStr">
        <is>
          <t>Kuchyň  +  WC</t>
        </is>
      </c>
      <c r="F23" s="13" t="inlineStr">
        <is>
          <t>Odpadky  +  Koupelna</t>
        </is>
      </c>
      <c r="G23" s="13" t="inlineStr">
        <is>
          <t>Předsíň  +  WC</t>
        </is>
      </c>
    </row>
    <row r="24" ht="24" customHeight="1">
      <c r="A24" s="14" t="inlineStr">
        <is>
          <t>Týden 18</t>
        </is>
      </c>
      <c r="B24" s="15">
        <f>$B$4 + (17*7)</f>
        <v/>
      </c>
      <c r="C24" s="15">
        <f>B24 + 6</f>
        <v/>
      </c>
      <c r="D24" s="16" t="inlineStr">
        <is>
          <t>Předsíň  +  WC</t>
        </is>
      </c>
      <c r="E24" s="16" t="inlineStr">
        <is>
          <t>Schody  +  Koupelna</t>
        </is>
      </c>
      <c r="F24" s="16" t="inlineStr">
        <is>
          <t>Kuchyň  +  WC</t>
        </is>
      </c>
      <c r="G24" s="16" t="inlineStr">
        <is>
          <t>Odpadky  +  Koupelna</t>
        </is>
      </c>
    </row>
    <row r="25" ht="24" customHeight="1">
      <c r="A25" s="11" t="inlineStr">
        <is>
          <t>Týden 19</t>
        </is>
      </c>
      <c r="B25" s="12">
        <f>$B$4 + (18*7)</f>
        <v/>
      </c>
      <c r="C25" s="12">
        <f>B25 + 6</f>
        <v/>
      </c>
      <c r="D25" s="13" t="inlineStr">
        <is>
          <t>Odpadky  +  Koupelna</t>
        </is>
      </c>
      <c r="E25" s="13" t="inlineStr">
        <is>
          <t>Předsíň  +  WC</t>
        </is>
      </c>
      <c r="F25" s="13" t="inlineStr">
        <is>
          <t>Schody  +  Koupelna</t>
        </is>
      </c>
      <c r="G25" s="13" t="inlineStr">
        <is>
          <t>Kuchyň  +  WC</t>
        </is>
      </c>
    </row>
    <row r="26" ht="24" customHeight="1">
      <c r="A26" s="14" t="inlineStr">
        <is>
          <t>Týden 20</t>
        </is>
      </c>
      <c r="B26" s="15">
        <f>$B$4 + (19*7)</f>
        <v/>
      </c>
      <c r="C26" s="15">
        <f>B26 + 6</f>
        <v/>
      </c>
      <c r="D26" s="16" t="inlineStr">
        <is>
          <t>Kuchyň  +  WC</t>
        </is>
      </c>
      <c r="E26" s="16" t="inlineStr">
        <is>
          <t>Odpadky  +  Koupelna</t>
        </is>
      </c>
      <c r="F26" s="16" t="inlineStr">
        <is>
          <t>Předsíň  +  WC</t>
        </is>
      </c>
      <c r="G26" s="16" t="inlineStr">
        <is>
          <t>Schody  +  Koupelna</t>
        </is>
      </c>
    </row>
    <row r="27" ht="24" customHeight="1">
      <c r="A27" s="11" t="inlineStr">
        <is>
          <t>Týden 21</t>
        </is>
      </c>
      <c r="B27" s="12">
        <f>$B$4 + (20*7)</f>
        <v/>
      </c>
      <c r="C27" s="12">
        <f>B27 + 6</f>
        <v/>
      </c>
      <c r="D27" s="13" t="inlineStr">
        <is>
          <t>Schody  +  Koupelna</t>
        </is>
      </c>
      <c r="E27" s="13" t="inlineStr">
        <is>
          <t>Kuchyň  +  WC</t>
        </is>
      </c>
      <c r="F27" s="13" t="inlineStr">
        <is>
          <t>Odpadky  +  Koupelna</t>
        </is>
      </c>
      <c r="G27" s="13" t="inlineStr">
        <is>
          <t>Předsíň  +  WC</t>
        </is>
      </c>
    </row>
    <row r="28" ht="24" customHeight="1">
      <c r="A28" s="14" t="inlineStr">
        <is>
          <t>Týden 22</t>
        </is>
      </c>
      <c r="B28" s="15">
        <f>$B$4 + (21*7)</f>
        <v/>
      </c>
      <c r="C28" s="15">
        <f>B28 + 6</f>
        <v/>
      </c>
      <c r="D28" s="16" t="inlineStr">
        <is>
          <t>Předsíň  +  WC</t>
        </is>
      </c>
      <c r="E28" s="16" t="inlineStr">
        <is>
          <t>Schody  +  Koupelna</t>
        </is>
      </c>
      <c r="F28" s="16" t="inlineStr">
        <is>
          <t>Kuchyň  +  WC</t>
        </is>
      </c>
      <c r="G28" s="16" t="inlineStr">
        <is>
          <t>Odpadky  +  Koupelna</t>
        </is>
      </c>
    </row>
    <row r="29" ht="24" customHeight="1">
      <c r="A29" s="11" t="inlineStr">
        <is>
          <t>Týden 23</t>
        </is>
      </c>
      <c r="B29" s="12">
        <f>$B$4 + (22*7)</f>
        <v/>
      </c>
      <c r="C29" s="12">
        <f>B29 + 6</f>
        <v/>
      </c>
      <c r="D29" s="13" t="inlineStr">
        <is>
          <t>Odpadky  +  Koupelna</t>
        </is>
      </c>
      <c r="E29" s="13" t="inlineStr">
        <is>
          <t>Předsíň  +  WC</t>
        </is>
      </c>
      <c r="F29" s="13" t="inlineStr">
        <is>
          <t>Schody  +  Koupelna</t>
        </is>
      </c>
      <c r="G29" s="13" t="inlineStr">
        <is>
          <t>Kuchyň  +  WC</t>
        </is>
      </c>
    </row>
    <row r="30" ht="24" customHeight="1">
      <c r="A30" s="14" t="inlineStr">
        <is>
          <t>Týden 24</t>
        </is>
      </c>
      <c r="B30" s="15">
        <f>$B$4 + (23*7)</f>
        <v/>
      </c>
      <c r="C30" s="15">
        <f>B30 + 6</f>
        <v/>
      </c>
      <c r="D30" s="16" t="inlineStr">
        <is>
          <t>Kuchyň  +  WC</t>
        </is>
      </c>
      <c r="E30" s="16" t="inlineStr">
        <is>
          <t>Odpadky  +  Koupelna</t>
        </is>
      </c>
      <c r="F30" s="16" t="inlineStr">
        <is>
          <t>Předsíň  +  WC</t>
        </is>
      </c>
      <c r="G30" s="16" t="inlineStr">
        <is>
          <t>Schody  +  Koupelna</t>
        </is>
      </c>
    </row>
    <row r="31" ht="24" customHeight="1">
      <c r="A31" s="11" t="inlineStr">
        <is>
          <t>Týden 25</t>
        </is>
      </c>
      <c r="B31" s="12">
        <f>$B$4 + (24*7)</f>
        <v/>
      </c>
      <c r="C31" s="12">
        <f>B31 + 6</f>
        <v/>
      </c>
      <c r="D31" s="13" t="inlineStr">
        <is>
          <t>Schody  +  Koupelna</t>
        </is>
      </c>
      <c r="E31" s="13" t="inlineStr">
        <is>
          <t>Kuchyň  +  WC</t>
        </is>
      </c>
      <c r="F31" s="13" t="inlineStr">
        <is>
          <t>Odpadky  +  Koupelna</t>
        </is>
      </c>
      <c r="G31" s="13" t="inlineStr">
        <is>
          <t>Předsíň  +  WC</t>
        </is>
      </c>
    </row>
    <row r="32" ht="24" customHeight="1">
      <c r="A32" s="14" t="inlineStr">
        <is>
          <t>Týden 26</t>
        </is>
      </c>
      <c r="B32" s="15">
        <f>$B$4 + (25*7)</f>
        <v/>
      </c>
      <c r="C32" s="15">
        <f>B32 + 6</f>
        <v/>
      </c>
      <c r="D32" s="16" t="inlineStr">
        <is>
          <t>Předsíň  +  WC</t>
        </is>
      </c>
      <c r="E32" s="16" t="inlineStr">
        <is>
          <t>Schody  +  Koupelna</t>
        </is>
      </c>
      <c r="F32" s="16" t="inlineStr">
        <is>
          <t>Kuchyň  +  WC</t>
        </is>
      </c>
      <c r="G32" s="16" t="inlineStr">
        <is>
          <t>Odpadky  +  Koupelna</t>
        </is>
      </c>
    </row>
    <row r="33" ht="24" customHeight="1">
      <c r="A33" s="11" t="inlineStr">
        <is>
          <t>Týden 27</t>
        </is>
      </c>
      <c r="B33" s="12">
        <f>$B$4 + (26*7)</f>
        <v/>
      </c>
      <c r="C33" s="12">
        <f>B33 + 6</f>
        <v/>
      </c>
      <c r="D33" s="13" t="inlineStr">
        <is>
          <t>Odpadky  +  Koupelna</t>
        </is>
      </c>
      <c r="E33" s="13" t="inlineStr">
        <is>
          <t>Předsíň  +  WC</t>
        </is>
      </c>
      <c r="F33" s="13" t="inlineStr">
        <is>
          <t>Schody  +  Koupelna</t>
        </is>
      </c>
      <c r="G33" s="13" t="inlineStr">
        <is>
          <t>Kuchyň  +  WC</t>
        </is>
      </c>
    </row>
    <row r="34" ht="24" customHeight="1">
      <c r="A34" s="14" t="inlineStr">
        <is>
          <t>Týden 28</t>
        </is>
      </c>
      <c r="B34" s="15">
        <f>$B$4 + (27*7)</f>
        <v/>
      </c>
      <c r="C34" s="15">
        <f>B34 + 6</f>
        <v/>
      </c>
      <c r="D34" s="16" t="inlineStr">
        <is>
          <t>Kuchyň  +  WC</t>
        </is>
      </c>
      <c r="E34" s="16" t="inlineStr">
        <is>
          <t>Odpadky  +  Koupelna</t>
        </is>
      </c>
      <c r="F34" s="16" t="inlineStr">
        <is>
          <t>Předsíň  +  WC</t>
        </is>
      </c>
      <c r="G34" s="16" t="inlineStr">
        <is>
          <t>Schody  +  Koupelna</t>
        </is>
      </c>
    </row>
    <row r="35" ht="24" customHeight="1">
      <c r="A35" s="11" t="inlineStr">
        <is>
          <t>Týden 29</t>
        </is>
      </c>
      <c r="B35" s="12">
        <f>$B$4 + (28*7)</f>
        <v/>
      </c>
      <c r="C35" s="12">
        <f>B35 + 6</f>
        <v/>
      </c>
      <c r="D35" s="13" t="inlineStr">
        <is>
          <t>Schody  +  Koupelna</t>
        </is>
      </c>
      <c r="E35" s="13" t="inlineStr">
        <is>
          <t>Kuchyň  +  WC</t>
        </is>
      </c>
      <c r="F35" s="13" t="inlineStr">
        <is>
          <t>Odpadky  +  Koupelna</t>
        </is>
      </c>
      <c r="G35" s="13" t="inlineStr">
        <is>
          <t>Předsíň  +  WC</t>
        </is>
      </c>
    </row>
    <row r="36" ht="24" customHeight="1">
      <c r="A36" s="14" t="inlineStr">
        <is>
          <t>Týden 30</t>
        </is>
      </c>
      <c r="B36" s="15">
        <f>$B$4 + (29*7)</f>
        <v/>
      </c>
      <c r="C36" s="15">
        <f>B36 + 6</f>
        <v/>
      </c>
      <c r="D36" s="16" t="inlineStr">
        <is>
          <t>Předsíň  +  WC</t>
        </is>
      </c>
      <c r="E36" s="16" t="inlineStr">
        <is>
          <t>Schody  +  Koupelna</t>
        </is>
      </c>
      <c r="F36" s="16" t="inlineStr">
        <is>
          <t>Kuchyň  +  WC</t>
        </is>
      </c>
      <c r="G36" s="16" t="inlineStr">
        <is>
          <t>Odpadky  +  Koupelna</t>
        </is>
      </c>
    </row>
    <row r="37" ht="24" customHeight="1">
      <c r="A37" s="11" t="inlineStr">
        <is>
          <t>Týden 31</t>
        </is>
      </c>
      <c r="B37" s="12">
        <f>$B$4 + (30*7)</f>
        <v/>
      </c>
      <c r="C37" s="12">
        <f>B37 + 6</f>
        <v/>
      </c>
      <c r="D37" s="13" t="inlineStr">
        <is>
          <t>Odpadky  +  Koupelna</t>
        </is>
      </c>
      <c r="E37" s="13" t="inlineStr">
        <is>
          <t>Předsíň  +  WC</t>
        </is>
      </c>
      <c r="F37" s="13" t="inlineStr">
        <is>
          <t>Schody  +  Koupelna</t>
        </is>
      </c>
      <c r="G37" s="13" t="inlineStr">
        <is>
          <t>Kuchyň  +  WC</t>
        </is>
      </c>
    </row>
    <row r="38" ht="24" customHeight="1">
      <c r="A38" s="14" t="inlineStr">
        <is>
          <t>Týden 32</t>
        </is>
      </c>
      <c r="B38" s="15">
        <f>$B$4 + (31*7)</f>
        <v/>
      </c>
      <c r="C38" s="15">
        <f>B38 + 6</f>
        <v/>
      </c>
      <c r="D38" s="16" t="inlineStr">
        <is>
          <t>Kuchyň  +  WC</t>
        </is>
      </c>
      <c r="E38" s="16" t="inlineStr">
        <is>
          <t>Odpadky  +  Koupelna</t>
        </is>
      </c>
      <c r="F38" s="16" t="inlineStr">
        <is>
          <t>Předsíň  +  WC</t>
        </is>
      </c>
      <c r="G38" s="16" t="inlineStr">
        <is>
          <t>Schody  +  Koupelna</t>
        </is>
      </c>
    </row>
    <row r="39" ht="24" customHeight="1">
      <c r="A39" s="11" t="inlineStr">
        <is>
          <t>Týden 33</t>
        </is>
      </c>
      <c r="B39" s="12">
        <f>$B$4 + (32*7)</f>
        <v/>
      </c>
      <c r="C39" s="12">
        <f>B39 + 6</f>
        <v/>
      </c>
      <c r="D39" s="13" t="inlineStr">
        <is>
          <t>Schody  +  Koupelna</t>
        </is>
      </c>
      <c r="E39" s="13" t="inlineStr">
        <is>
          <t>Kuchyň  +  WC</t>
        </is>
      </c>
      <c r="F39" s="13" t="inlineStr">
        <is>
          <t>Odpadky  +  Koupelna</t>
        </is>
      </c>
      <c r="G39" s="13" t="inlineStr">
        <is>
          <t>Předsíň  +  WC</t>
        </is>
      </c>
    </row>
    <row r="40" ht="24" customHeight="1">
      <c r="A40" s="14" t="inlineStr">
        <is>
          <t>Týden 34</t>
        </is>
      </c>
      <c r="B40" s="15">
        <f>$B$4 + (33*7)</f>
        <v/>
      </c>
      <c r="C40" s="15">
        <f>B40 + 6</f>
        <v/>
      </c>
      <c r="D40" s="16" t="inlineStr">
        <is>
          <t>Předsíň  +  WC</t>
        </is>
      </c>
      <c r="E40" s="16" t="inlineStr">
        <is>
          <t>Schody  +  Koupelna</t>
        </is>
      </c>
      <c r="F40" s="16" t="inlineStr">
        <is>
          <t>Kuchyň  +  WC</t>
        </is>
      </c>
      <c r="G40" s="16" t="inlineStr">
        <is>
          <t>Odpadky  +  Koupelna</t>
        </is>
      </c>
    </row>
    <row r="41" ht="24" customHeight="1">
      <c r="A41" s="11" t="inlineStr">
        <is>
          <t>Týden 35</t>
        </is>
      </c>
      <c r="B41" s="12">
        <f>$B$4 + (34*7)</f>
        <v/>
      </c>
      <c r="C41" s="12">
        <f>B41 + 6</f>
        <v/>
      </c>
      <c r="D41" s="13" t="inlineStr">
        <is>
          <t>Odpadky  +  Koupelna</t>
        </is>
      </c>
      <c r="E41" s="13" t="inlineStr">
        <is>
          <t>Předsíň  +  WC</t>
        </is>
      </c>
      <c r="F41" s="13" t="inlineStr">
        <is>
          <t>Schody  +  Koupelna</t>
        </is>
      </c>
      <c r="G41" s="13" t="inlineStr">
        <is>
          <t>Kuchyň  +  WC</t>
        </is>
      </c>
    </row>
    <row r="42" ht="24" customHeight="1">
      <c r="A42" s="14" t="inlineStr">
        <is>
          <t>Týden 36</t>
        </is>
      </c>
      <c r="B42" s="15">
        <f>$B$4 + (35*7)</f>
        <v/>
      </c>
      <c r="C42" s="15">
        <f>B42 + 6</f>
        <v/>
      </c>
      <c r="D42" s="16" t="inlineStr">
        <is>
          <t>Kuchyň  +  WC</t>
        </is>
      </c>
      <c r="E42" s="16" t="inlineStr">
        <is>
          <t>Odpadky  +  Koupelna</t>
        </is>
      </c>
      <c r="F42" s="16" t="inlineStr">
        <is>
          <t>Předsíň  +  WC</t>
        </is>
      </c>
      <c r="G42" s="16" t="inlineStr">
        <is>
          <t>Schody  +  Koupelna</t>
        </is>
      </c>
    </row>
    <row r="43" ht="24" customHeight="1">
      <c r="A43" s="11" t="inlineStr">
        <is>
          <t>Týden 37</t>
        </is>
      </c>
      <c r="B43" s="12">
        <f>$B$4 + (36*7)</f>
        <v/>
      </c>
      <c r="C43" s="12">
        <f>B43 + 6</f>
        <v/>
      </c>
      <c r="D43" s="13" t="inlineStr">
        <is>
          <t>Schody  +  Koupelna</t>
        </is>
      </c>
      <c r="E43" s="13" t="inlineStr">
        <is>
          <t>Kuchyň  +  WC</t>
        </is>
      </c>
      <c r="F43" s="13" t="inlineStr">
        <is>
          <t>Odpadky  +  Koupelna</t>
        </is>
      </c>
      <c r="G43" s="13" t="inlineStr">
        <is>
          <t>Předsíň  +  WC</t>
        </is>
      </c>
    </row>
    <row r="44" ht="24" customHeight="1">
      <c r="A44" s="14" t="inlineStr">
        <is>
          <t>Týden 38</t>
        </is>
      </c>
      <c r="B44" s="15">
        <f>$B$4 + (37*7)</f>
        <v/>
      </c>
      <c r="C44" s="15">
        <f>B44 + 6</f>
        <v/>
      </c>
      <c r="D44" s="16" t="inlineStr">
        <is>
          <t>Předsíň  +  WC</t>
        </is>
      </c>
      <c r="E44" s="16" t="inlineStr">
        <is>
          <t>Schody  +  Koupelna</t>
        </is>
      </c>
      <c r="F44" s="16" t="inlineStr">
        <is>
          <t>Kuchyň  +  WC</t>
        </is>
      </c>
      <c r="G44" s="16" t="inlineStr">
        <is>
          <t>Odpadky  +  Koupelna</t>
        </is>
      </c>
    </row>
    <row r="45" ht="24" customHeight="1">
      <c r="A45" s="11" t="inlineStr">
        <is>
          <t>Týden 39</t>
        </is>
      </c>
      <c r="B45" s="12">
        <f>$B$4 + (38*7)</f>
        <v/>
      </c>
      <c r="C45" s="12">
        <f>B45 + 6</f>
        <v/>
      </c>
      <c r="D45" s="13" t="inlineStr">
        <is>
          <t>Odpadky  +  Koupelna</t>
        </is>
      </c>
      <c r="E45" s="13" t="inlineStr">
        <is>
          <t>Předsíň  +  WC</t>
        </is>
      </c>
      <c r="F45" s="13" t="inlineStr">
        <is>
          <t>Schody  +  Koupelna</t>
        </is>
      </c>
      <c r="G45" s="13" t="inlineStr">
        <is>
          <t>Kuchyň  +  WC</t>
        </is>
      </c>
    </row>
    <row r="46" ht="24" customHeight="1">
      <c r="A46" s="14" t="inlineStr">
        <is>
          <t>Týden 40</t>
        </is>
      </c>
      <c r="B46" s="15">
        <f>$B$4 + (39*7)</f>
        <v/>
      </c>
      <c r="C46" s="15">
        <f>B46 + 6</f>
        <v/>
      </c>
      <c r="D46" s="16" t="inlineStr">
        <is>
          <t>Kuchyň  +  WC</t>
        </is>
      </c>
      <c r="E46" s="16" t="inlineStr">
        <is>
          <t>Odpadky  +  Koupelna</t>
        </is>
      </c>
      <c r="F46" s="16" t="inlineStr">
        <is>
          <t>Předsíň  +  WC</t>
        </is>
      </c>
      <c r="G46" s="16" t="inlineStr">
        <is>
          <t>Schody  +  Koupelna</t>
        </is>
      </c>
    </row>
    <row r="47" ht="24" customHeight="1">
      <c r="A47" s="11" t="inlineStr">
        <is>
          <t>Týden 41</t>
        </is>
      </c>
      <c r="B47" s="12">
        <f>$B$4 + (40*7)</f>
        <v/>
      </c>
      <c r="C47" s="12">
        <f>B47 + 6</f>
        <v/>
      </c>
      <c r="D47" s="13" t="inlineStr">
        <is>
          <t>Schody  +  Koupelna</t>
        </is>
      </c>
      <c r="E47" s="13" t="inlineStr">
        <is>
          <t>Kuchyň  +  WC</t>
        </is>
      </c>
      <c r="F47" s="13" t="inlineStr">
        <is>
          <t>Odpadky  +  Koupelna</t>
        </is>
      </c>
      <c r="G47" s="13" t="inlineStr">
        <is>
          <t>Předsíň  +  WC</t>
        </is>
      </c>
    </row>
    <row r="48" ht="24" customHeight="1">
      <c r="A48" s="14" t="inlineStr">
        <is>
          <t>Týden 42</t>
        </is>
      </c>
      <c r="B48" s="15">
        <f>$B$4 + (41*7)</f>
        <v/>
      </c>
      <c r="C48" s="15">
        <f>B48 + 6</f>
        <v/>
      </c>
      <c r="D48" s="16" t="inlineStr">
        <is>
          <t>Předsíň  +  WC</t>
        </is>
      </c>
      <c r="E48" s="16" t="inlineStr">
        <is>
          <t>Schody  +  Koupelna</t>
        </is>
      </c>
      <c r="F48" s="16" t="inlineStr">
        <is>
          <t>Kuchyň  +  WC</t>
        </is>
      </c>
      <c r="G48" s="16" t="inlineStr">
        <is>
          <t>Odpadky  +  Koupelna</t>
        </is>
      </c>
    </row>
    <row r="49" ht="24" customHeight="1">
      <c r="A49" s="11" t="inlineStr">
        <is>
          <t>Týden 43</t>
        </is>
      </c>
      <c r="B49" s="12">
        <f>$B$4 + (42*7)</f>
        <v/>
      </c>
      <c r="C49" s="12">
        <f>B49 + 6</f>
        <v/>
      </c>
      <c r="D49" s="13" t="inlineStr">
        <is>
          <t>Odpadky  +  Koupelna</t>
        </is>
      </c>
      <c r="E49" s="13" t="inlineStr">
        <is>
          <t>Předsíň  +  WC</t>
        </is>
      </c>
      <c r="F49" s="13" t="inlineStr">
        <is>
          <t>Schody  +  Koupelna</t>
        </is>
      </c>
      <c r="G49" s="13" t="inlineStr">
        <is>
          <t>Kuchyň  +  WC</t>
        </is>
      </c>
    </row>
    <row r="50" ht="24" customHeight="1">
      <c r="A50" s="14" t="inlineStr">
        <is>
          <t>Týden 44</t>
        </is>
      </c>
      <c r="B50" s="15">
        <f>$B$4 + (43*7)</f>
        <v/>
      </c>
      <c r="C50" s="15">
        <f>B50 + 6</f>
        <v/>
      </c>
      <c r="D50" s="16" t="inlineStr">
        <is>
          <t>Kuchyň  +  WC</t>
        </is>
      </c>
      <c r="E50" s="16" t="inlineStr">
        <is>
          <t>Odpadky  +  Koupelna</t>
        </is>
      </c>
      <c r="F50" s="16" t="inlineStr">
        <is>
          <t>Předsíň  +  WC</t>
        </is>
      </c>
      <c r="G50" s="16" t="inlineStr">
        <is>
          <t>Schody  +  Koupelna</t>
        </is>
      </c>
    </row>
    <row r="51" ht="24" customHeight="1">
      <c r="A51" s="11" t="inlineStr">
        <is>
          <t>Týden 45</t>
        </is>
      </c>
      <c r="B51" s="12">
        <f>$B$4 + (44*7)</f>
        <v/>
      </c>
      <c r="C51" s="12">
        <f>B51 + 6</f>
        <v/>
      </c>
      <c r="D51" s="13" t="inlineStr">
        <is>
          <t>Schody  +  Koupelna</t>
        </is>
      </c>
      <c r="E51" s="13" t="inlineStr">
        <is>
          <t>Kuchyň  +  WC</t>
        </is>
      </c>
      <c r="F51" s="13" t="inlineStr">
        <is>
          <t>Odpadky  +  Koupelna</t>
        </is>
      </c>
      <c r="G51" s="13" t="inlineStr">
        <is>
          <t>Předsíň  +  WC</t>
        </is>
      </c>
    </row>
    <row r="52" ht="24" customHeight="1">
      <c r="A52" s="14" t="inlineStr">
        <is>
          <t>Týden 46</t>
        </is>
      </c>
      <c r="B52" s="15">
        <f>$B$4 + (45*7)</f>
        <v/>
      </c>
      <c r="C52" s="15">
        <f>B52 + 6</f>
        <v/>
      </c>
      <c r="D52" s="16" t="inlineStr">
        <is>
          <t>Předsíň  +  WC</t>
        </is>
      </c>
      <c r="E52" s="16" t="inlineStr">
        <is>
          <t>Schody  +  Koupelna</t>
        </is>
      </c>
      <c r="F52" s="16" t="inlineStr">
        <is>
          <t>Kuchyň  +  WC</t>
        </is>
      </c>
      <c r="G52" s="16" t="inlineStr">
        <is>
          <t>Odpadky  +  Koupelna</t>
        </is>
      </c>
    </row>
    <row r="53" ht="24" customHeight="1">
      <c r="A53" s="11" t="inlineStr">
        <is>
          <t>Týden 47</t>
        </is>
      </c>
      <c r="B53" s="12">
        <f>$B$4 + (46*7)</f>
        <v/>
      </c>
      <c r="C53" s="12">
        <f>B53 + 6</f>
        <v/>
      </c>
      <c r="D53" s="13" t="inlineStr">
        <is>
          <t>Odpadky  +  Koupelna</t>
        </is>
      </c>
      <c r="E53" s="13" t="inlineStr">
        <is>
          <t>Předsíň  +  WC</t>
        </is>
      </c>
      <c r="F53" s="13" t="inlineStr">
        <is>
          <t>Schody  +  Koupelna</t>
        </is>
      </c>
      <c r="G53" s="13" t="inlineStr">
        <is>
          <t>Kuchyň  +  WC</t>
        </is>
      </c>
    </row>
    <row r="54" ht="24" customHeight="1">
      <c r="A54" s="14" t="inlineStr">
        <is>
          <t>Týden 48</t>
        </is>
      </c>
      <c r="B54" s="15">
        <f>$B$4 + (47*7)</f>
        <v/>
      </c>
      <c r="C54" s="15">
        <f>B54 + 6</f>
        <v/>
      </c>
      <c r="D54" s="16" t="inlineStr">
        <is>
          <t>Kuchyň  +  WC</t>
        </is>
      </c>
      <c r="E54" s="16" t="inlineStr">
        <is>
          <t>Odpadky  +  Koupelna</t>
        </is>
      </c>
      <c r="F54" s="16" t="inlineStr">
        <is>
          <t>Předsíň  +  WC</t>
        </is>
      </c>
      <c r="G54" s="16" t="inlineStr">
        <is>
          <t>Schody  +  Koupelna</t>
        </is>
      </c>
    </row>
    <row r="55" ht="24" customHeight="1">
      <c r="A55" s="11" t="inlineStr">
        <is>
          <t>Týden 49</t>
        </is>
      </c>
      <c r="B55" s="12">
        <f>$B$4 + (48*7)</f>
        <v/>
      </c>
      <c r="C55" s="12">
        <f>B55 + 6</f>
        <v/>
      </c>
      <c r="D55" s="13" t="inlineStr">
        <is>
          <t>Schody  +  Koupelna</t>
        </is>
      </c>
      <c r="E55" s="13" t="inlineStr">
        <is>
          <t>Kuchyň  +  WC</t>
        </is>
      </c>
      <c r="F55" s="13" t="inlineStr">
        <is>
          <t>Odpadky  +  Koupelna</t>
        </is>
      </c>
      <c r="G55" s="13" t="inlineStr">
        <is>
          <t>Předsíň  +  WC</t>
        </is>
      </c>
    </row>
    <row r="56" ht="24" customHeight="1">
      <c r="A56" s="14" t="inlineStr">
        <is>
          <t>Týden 50</t>
        </is>
      </c>
      <c r="B56" s="15">
        <f>$B$4 + (49*7)</f>
        <v/>
      </c>
      <c r="C56" s="15">
        <f>B56 + 6</f>
        <v/>
      </c>
      <c r="D56" s="16" t="inlineStr">
        <is>
          <t>Předsíň  +  WC</t>
        </is>
      </c>
      <c r="E56" s="16" t="inlineStr">
        <is>
          <t>Schody  +  Koupelna</t>
        </is>
      </c>
      <c r="F56" s="16" t="inlineStr">
        <is>
          <t>Kuchyň  +  WC</t>
        </is>
      </c>
      <c r="G56" s="16" t="inlineStr">
        <is>
          <t>Odpadky  +  Koupelna</t>
        </is>
      </c>
    </row>
    <row r="57" ht="24" customHeight="1">
      <c r="A57" s="11" t="inlineStr">
        <is>
          <t>Týden 51</t>
        </is>
      </c>
      <c r="B57" s="12">
        <f>$B$4 + (50*7)</f>
        <v/>
      </c>
      <c r="C57" s="12">
        <f>B57 + 6</f>
        <v/>
      </c>
      <c r="D57" s="13" t="inlineStr">
        <is>
          <t>Odpadky  +  Koupelna</t>
        </is>
      </c>
      <c r="E57" s="13" t="inlineStr">
        <is>
          <t>Předsíň  +  WC</t>
        </is>
      </c>
      <c r="F57" s="13" t="inlineStr">
        <is>
          <t>Schody  +  Koupelna</t>
        </is>
      </c>
      <c r="G57" s="13" t="inlineStr">
        <is>
          <t>Kuchyň  +  WC</t>
        </is>
      </c>
    </row>
    <row r="58" ht="24" customHeight="1">
      <c r="A58" s="14" t="inlineStr">
        <is>
          <t>Týden 52</t>
        </is>
      </c>
      <c r="B58" s="15">
        <f>$B$4 + (51*7)</f>
        <v/>
      </c>
      <c r="C58" s="15">
        <f>B58 + 6</f>
        <v/>
      </c>
      <c r="D58" s="16" t="inlineStr">
        <is>
          <t>Kuchyň  +  WC</t>
        </is>
      </c>
      <c r="E58" s="16" t="inlineStr">
        <is>
          <t>Odpadky  +  Koupelna</t>
        </is>
      </c>
      <c r="F58" s="16" t="inlineStr">
        <is>
          <t>Předsíň  +  WC</t>
        </is>
      </c>
      <c r="G58" s="16" t="inlineStr">
        <is>
          <t>Schody  +  Koupelna</t>
        </is>
      </c>
    </row>
  </sheetData>
  <mergeCells count="3">
    <mergeCell ref="C4:G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1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8" customWidth="1" min="10" max="10"/>
    <col width="16" customWidth="1" min="11" max="11"/>
  </cols>
  <sheetData>
    <row r="1" ht="26" customHeight="1">
      <c r="A1" s="1" t="inlineStr">
        <is>
          <t>📋 ROZPIS PODLE OBLASTÍ A SLUŽEB</t>
        </is>
      </c>
    </row>
    <row r="2" ht="18" customHeight="1">
      <c r="A2" s="2" t="inlineStr">
        <is>
          <t>Přehled kdo má v daném týdnu konkrétní oblast (barevně zvýrazněno podle pokoje)</t>
        </is>
      </c>
    </row>
    <row r="4" ht="22" customHeight="1">
      <c r="A4" s="17" t="inlineStr">
        <is>
          <t>TERMÍN</t>
        </is>
      </c>
      <c r="D4" s="18" t="inlineStr">
        <is>
          <t>🧹 SPOLEČNÉ PROSTORY (ROTACE VŠECH 4 POKOJŮ)</t>
        </is>
      </c>
      <c r="H4" s="19" t="inlineStr">
        <is>
          <t>🚿 KOUPELNY A ZÁCHODY (ROTACE DVOJIC)</t>
        </is>
      </c>
    </row>
    <row r="5" ht="26" customHeight="1">
      <c r="A5" s="6" t="inlineStr">
        <is>
          <t>Týden</t>
        </is>
      </c>
      <c r="B5" s="6" t="inlineStr">
        <is>
          <t>Od (Po)</t>
        </is>
      </c>
      <c r="C5" s="6" t="inlineStr">
        <is>
          <t>Do (Ne)</t>
        </is>
      </c>
      <c r="D5" s="20" t="inlineStr">
        <is>
          <t>Schody</t>
        </is>
      </c>
      <c r="E5" s="20" t="inlineStr">
        <is>
          <t>Kuchyň</t>
        </is>
      </c>
      <c r="F5" s="20" t="inlineStr">
        <is>
          <t>Odpadky</t>
        </is>
      </c>
      <c r="G5" s="20" t="inlineStr">
        <is>
          <t>Předsíň</t>
        </is>
      </c>
      <c r="H5" s="21" t="inlineStr">
        <is>
          <t>Koupelna (P1-P2)</t>
        </is>
      </c>
      <c r="I5" s="21" t="inlineStr">
        <is>
          <t>WC (P1-P2)</t>
        </is>
      </c>
      <c r="J5" s="21" t="inlineStr">
        <is>
          <t>Koupelna (P3-P4)</t>
        </is>
      </c>
      <c r="K5" s="21" t="inlineStr">
        <is>
          <t>WC (P3-P4)</t>
        </is>
      </c>
    </row>
    <row r="6" ht="22" customHeight="1">
      <c r="A6" s="11" t="inlineStr">
        <is>
          <t>Týden 1</t>
        </is>
      </c>
      <c r="B6" s="22">
        <f>'Rozpis podle pokojů'!B7</f>
        <v/>
      </c>
      <c r="C6" s="22">
        <f>'Rozpis podle pokojů'!C7</f>
        <v/>
      </c>
      <c r="D6" s="23" t="inlineStr">
        <is>
          <t>Pokoj 1</t>
        </is>
      </c>
      <c r="E6" s="24" t="inlineStr">
        <is>
          <t>Pokoj 2</t>
        </is>
      </c>
      <c r="F6" s="25" t="inlineStr">
        <is>
          <t>Pokoj 3</t>
        </is>
      </c>
      <c r="G6" s="26" t="inlineStr">
        <is>
          <t>Pokoj 4</t>
        </is>
      </c>
      <c r="H6" s="23" t="inlineStr">
        <is>
          <t>Pokoj 1</t>
        </is>
      </c>
      <c r="I6" s="24" t="inlineStr">
        <is>
          <t>Pokoj 2</t>
        </is>
      </c>
      <c r="J6" s="25" t="inlineStr">
        <is>
          <t>Pokoj 3</t>
        </is>
      </c>
      <c r="K6" s="26" t="inlineStr">
        <is>
          <t>Pokoj 4</t>
        </is>
      </c>
    </row>
    <row r="7" ht="22" customHeight="1">
      <c r="A7" s="14" t="inlineStr">
        <is>
          <t>Týden 2</t>
        </is>
      </c>
      <c r="B7" s="27">
        <f>'Rozpis podle pokojů'!B8</f>
        <v/>
      </c>
      <c r="C7" s="27">
        <f>'Rozpis podle pokojů'!C8</f>
        <v/>
      </c>
      <c r="D7" s="24" t="inlineStr">
        <is>
          <t>Pokoj 2</t>
        </is>
      </c>
      <c r="E7" s="25" t="inlineStr">
        <is>
          <t>Pokoj 3</t>
        </is>
      </c>
      <c r="F7" s="26" t="inlineStr">
        <is>
          <t>Pokoj 4</t>
        </is>
      </c>
      <c r="G7" s="23" t="inlineStr">
        <is>
          <t>Pokoj 1</t>
        </is>
      </c>
      <c r="H7" s="24" t="inlineStr">
        <is>
          <t>Pokoj 2</t>
        </is>
      </c>
      <c r="I7" s="23" t="inlineStr">
        <is>
          <t>Pokoj 1</t>
        </is>
      </c>
      <c r="J7" s="26" t="inlineStr">
        <is>
          <t>Pokoj 4</t>
        </is>
      </c>
      <c r="K7" s="25" t="inlineStr">
        <is>
          <t>Pokoj 3</t>
        </is>
      </c>
    </row>
    <row r="8" ht="22" customHeight="1">
      <c r="A8" s="11" t="inlineStr">
        <is>
          <t>Týden 3</t>
        </is>
      </c>
      <c r="B8" s="22">
        <f>'Rozpis podle pokojů'!B9</f>
        <v/>
      </c>
      <c r="C8" s="22">
        <f>'Rozpis podle pokojů'!C9</f>
        <v/>
      </c>
      <c r="D8" s="25" t="inlineStr">
        <is>
          <t>Pokoj 3</t>
        </is>
      </c>
      <c r="E8" s="26" t="inlineStr">
        <is>
          <t>Pokoj 4</t>
        </is>
      </c>
      <c r="F8" s="23" t="inlineStr">
        <is>
          <t>Pokoj 1</t>
        </is>
      </c>
      <c r="G8" s="24" t="inlineStr">
        <is>
          <t>Pokoj 2</t>
        </is>
      </c>
      <c r="H8" s="23" t="inlineStr">
        <is>
          <t>Pokoj 1</t>
        </is>
      </c>
      <c r="I8" s="24" t="inlineStr">
        <is>
          <t>Pokoj 2</t>
        </is>
      </c>
      <c r="J8" s="25" t="inlineStr">
        <is>
          <t>Pokoj 3</t>
        </is>
      </c>
      <c r="K8" s="26" t="inlineStr">
        <is>
          <t>Pokoj 4</t>
        </is>
      </c>
    </row>
    <row r="9" ht="22" customHeight="1">
      <c r="A9" s="14" t="inlineStr">
        <is>
          <t>Týden 4</t>
        </is>
      </c>
      <c r="B9" s="27">
        <f>'Rozpis podle pokojů'!B10</f>
        <v/>
      </c>
      <c r="C9" s="27">
        <f>'Rozpis podle pokojů'!C10</f>
        <v/>
      </c>
      <c r="D9" s="26" t="inlineStr">
        <is>
          <t>Pokoj 4</t>
        </is>
      </c>
      <c r="E9" s="23" t="inlineStr">
        <is>
          <t>Pokoj 1</t>
        </is>
      </c>
      <c r="F9" s="24" t="inlineStr">
        <is>
          <t>Pokoj 2</t>
        </is>
      </c>
      <c r="G9" s="25" t="inlineStr">
        <is>
          <t>Pokoj 3</t>
        </is>
      </c>
      <c r="H9" s="24" t="inlineStr">
        <is>
          <t>Pokoj 2</t>
        </is>
      </c>
      <c r="I9" s="23" t="inlineStr">
        <is>
          <t>Pokoj 1</t>
        </is>
      </c>
      <c r="J9" s="26" t="inlineStr">
        <is>
          <t>Pokoj 4</t>
        </is>
      </c>
      <c r="K9" s="25" t="inlineStr">
        <is>
          <t>Pokoj 3</t>
        </is>
      </c>
    </row>
    <row r="10" ht="22" customHeight="1">
      <c r="A10" s="11" t="inlineStr">
        <is>
          <t>Týden 5</t>
        </is>
      </c>
      <c r="B10" s="22">
        <f>'Rozpis podle pokojů'!B11</f>
        <v/>
      </c>
      <c r="C10" s="22">
        <f>'Rozpis podle pokojů'!C11</f>
        <v/>
      </c>
      <c r="D10" s="23" t="inlineStr">
        <is>
          <t>Pokoj 1</t>
        </is>
      </c>
      <c r="E10" s="24" t="inlineStr">
        <is>
          <t>Pokoj 2</t>
        </is>
      </c>
      <c r="F10" s="25" t="inlineStr">
        <is>
          <t>Pokoj 3</t>
        </is>
      </c>
      <c r="G10" s="26" t="inlineStr">
        <is>
          <t>Pokoj 4</t>
        </is>
      </c>
      <c r="H10" s="23" t="inlineStr">
        <is>
          <t>Pokoj 1</t>
        </is>
      </c>
      <c r="I10" s="24" t="inlineStr">
        <is>
          <t>Pokoj 2</t>
        </is>
      </c>
      <c r="J10" s="25" t="inlineStr">
        <is>
          <t>Pokoj 3</t>
        </is>
      </c>
      <c r="K10" s="26" t="inlineStr">
        <is>
          <t>Pokoj 4</t>
        </is>
      </c>
    </row>
    <row r="11" ht="22" customHeight="1">
      <c r="A11" s="14" t="inlineStr">
        <is>
          <t>Týden 6</t>
        </is>
      </c>
      <c r="B11" s="27">
        <f>'Rozpis podle pokojů'!B12</f>
        <v/>
      </c>
      <c r="C11" s="27">
        <f>'Rozpis podle pokojů'!C12</f>
        <v/>
      </c>
      <c r="D11" s="24" t="inlineStr">
        <is>
          <t>Pokoj 2</t>
        </is>
      </c>
      <c r="E11" s="25" t="inlineStr">
        <is>
          <t>Pokoj 3</t>
        </is>
      </c>
      <c r="F11" s="26" t="inlineStr">
        <is>
          <t>Pokoj 4</t>
        </is>
      </c>
      <c r="G11" s="23" t="inlineStr">
        <is>
          <t>Pokoj 1</t>
        </is>
      </c>
      <c r="H11" s="24" t="inlineStr">
        <is>
          <t>Pokoj 2</t>
        </is>
      </c>
      <c r="I11" s="23" t="inlineStr">
        <is>
          <t>Pokoj 1</t>
        </is>
      </c>
      <c r="J11" s="26" t="inlineStr">
        <is>
          <t>Pokoj 4</t>
        </is>
      </c>
      <c r="K11" s="25" t="inlineStr">
        <is>
          <t>Pokoj 3</t>
        </is>
      </c>
    </row>
    <row r="12" ht="22" customHeight="1">
      <c r="A12" s="11" t="inlineStr">
        <is>
          <t>Týden 7</t>
        </is>
      </c>
      <c r="B12" s="22">
        <f>'Rozpis podle pokojů'!B13</f>
        <v/>
      </c>
      <c r="C12" s="22">
        <f>'Rozpis podle pokojů'!C13</f>
        <v/>
      </c>
      <c r="D12" s="25" t="inlineStr">
        <is>
          <t>Pokoj 3</t>
        </is>
      </c>
      <c r="E12" s="26" t="inlineStr">
        <is>
          <t>Pokoj 4</t>
        </is>
      </c>
      <c r="F12" s="23" t="inlineStr">
        <is>
          <t>Pokoj 1</t>
        </is>
      </c>
      <c r="G12" s="24" t="inlineStr">
        <is>
          <t>Pokoj 2</t>
        </is>
      </c>
      <c r="H12" s="23" t="inlineStr">
        <is>
          <t>Pokoj 1</t>
        </is>
      </c>
      <c r="I12" s="24" t="inlineStr">
        <is>
          <t>Pokoj 2</t>
        </is>
      </c>
      <c r="J12" s="25" t="inlineStr">
        <is>
          <t>Pokoj 3</t>
        </is>
      </c>
      <c r="K12" s="26" t="inlineStr">
        <is>
          <t>Pokoj 4</t>
        </is>
      </c>
    </row>
    <row r="13" ht="22" customHeight="1">
      <c r="A13" s="14" t="inlineStr">
        <is>
          <t>Týden 8</t>
        </is>
      </c>
      <c r="B13" s="27">
        <f>'Rozpis podle pokojů'!B14</f>
        <v/>
      </c>
      <c r="C13" s="27">
        <f>'Rozpis podle pokojů'!C14</f>
        <v/>
      </c>
      <c r="D13" s="26" t="inlineStr">
        <is>
          <t>Pokoj 4</t>
        </is>
      </c>
      <c r="E13" s="23" t="inlineStr">
        <is>
          <t>Pokoj 1</t>
        </is>
      </c>
      <c r="F13" s="24" t="inlineStr">
        <is>
          <t>Pokoj 2</t>
        </is>
      </c>
      <c r="G13" s="25" t="inlineStr">
        <is>
          <t>Pokoj 3</t>
        </is>
      </c>
      <c r="H13" s="24" t="inlineStr">
        <is>
          <t>Pokoj 2</t>
        </is>
      </c>
      <c r="I13" s="23" t="inlineStr">
        <is>
          <t>Pokoj 1</t>
        </is>
      </c>
      <c r="J13" s="26" t="inlineStr">
        <is>
          <t>Pokoj 4</t>
        </is>
      </c>
      <c r="K13" s="25" t="inlineStr">
        <is>
          <t>Pokoj 3</t>
        </is>
      </c>
    </row>
    <row r="14" ht="22" customHeight="1">
      <c r="A14" s="11" t="inlineStr">
        <is>
          <t>Týden 9</t>
        </is>
      </c>
      <c r="B14" s="22">
        <f>'Rozpis podle pokojů'!B15</f>
        <v/>
      </c>
      <c r="C14" s="22">
        <f>'Rozpis podle pokojů'!C15</f>
        <v/>
      </c>
      <c r="D14" s="23" t="inlineStr">
        <is>
          <t>Pokoj 1</t>
        </is>
      </c>
      <c r="E14" s="24" t="inlineStr">
        <is>
          <t>Pokoj 2</t>
        </is>
      </c>
      <c r="F14" s="25" t="inlineStr">
        <is>
          <t>Pokoj 3</t>
        </is>
      </c>
      <c r="G14" s="26" t="inlineStr">
        <is>
          <t>Pokoj 4</t>
        </is>
      </c>
      <c r="H14" s="23" t="inlineStr">
        <is>
          <t>Pokoj 1</t>
        </is>
      </c>
      <c r="I14" s="24" t="inlineStr">
        <is>
          <t>Pokoj 2</t>
        </is>
      </c>
      <c r="J14" s="25" t="inlineStr">
        <is>
          <t>Pokoj 3</t>
        </is>
      </c>
      <c r="K14" s="26" t="inlineStr">
        <is>
          <t>Pokoj 4</t>
        </is>
      </c>
    </row>
    <row r="15" ht="22" customHeight="1">
      <c r="A15" s="14" t="inlineStr">
        <is>
          <t>Týden 10</t>
        </is>
      </c>
      <c r="B15" s="27">
        <f>'Rozpis podle pokojů'!B16</f>
        <v/>
      </c>
      <c r="C15" s="27">
        <f>'Rozpis podle pokojů'!C16</f>
        <v/>
      </c>
      <c r="D15" s="24" t="inlineStr">
        <is>
          <t>Pokoj 2</t>
        </is>
      </c>
      <c r="E15" s="25" t="inlineStr">
        <is>
          <t>Pokoj 3</t>
        </is>
      </c>
      <c r="F15" s="26" t="inlineStr">
        <is>
          <t>Pokoj 4</t>
        </is>
      </c>
      <c r="G15" s="23" t="inlineStr">
        <is>
          <t>Pokoj 1</t>
        </is>
      </c>
      <c r="H15" s="24" t="inlineStr">
        <is>
          <t>Pokoj 2</t>
        </is>
      </c>
      <c r="I15" s="23" t="inlineStr">
        <is>
          <t>Pokoj 1</t>
        </is>
      </c>
      <c r="J15" s="26" t="inlineStr">
        <is>
          <t>Pokoj 4</t>
        </is>
      </c>
      <c r="K15" s="25" t="inlineStr">
        <is>
          <t>Pokoj 3</t>
        </is>
      </c>
    </row>
    <row r="16" ht="22" customHeight="1">
      <c r="A16" s="11" t="inlineStr">
        <is>
          <t>Týden 11</t>
        </is>
      </c>
      <c r="B16" s="22">
        <f>'Rozpis podle pokojů'!B17</f>
        <v/>
      </c>
      <c r="C16" s="22">
        <f>'Rozpis podle pokojů'!C17</f>
        <v/>
      </c>
      <c r="D16" s="25" t="inlineStr">
        <is>
          <t>Pokoj 3</t>
        </is>
      </c>
      <c r="E16" s="26" t="inlineStr">
        <is>
          <t>Pokoj 4</t>
        </is>
      </c>
      <c r="F16" s="23" t="inlineStr">
        <is>
          <t>Pokoj 1</t>
        </is>
      </c>
      <c r="G16" s="24" t="inlineStr">
        <is>
          <t>Pokoj 2</t>
        </is>
      </c>
      <c r="H16" s="23" t="inlineStr">
        <is>
          <t>Pokoj 1</t>
        </is>
      </c>
      <c r="I16" s="24" t="inlineStr">
        <is>
          <t>Pokoj 2</t>
        </is>
      </c>
      <c r="J16" s="25" t="inlineStr">
        <is>
          <t>Pokoj 3</t>
        </is>
      </c>
      <c r="K16" s="26" t="inlineStr">
        <is>
          <t>Pokoj 4</t>
        </is>
      </c>
    </row>
    <row r="17" ht="22" customHeight="1">
      <c r="A17" s="14" t="inlineStr">
        <is>
          <t>Týden 12</t>
        </is>
      </c>
      <c r="B17" s="27">
        <f>'Rozpis podle pokojů'!B18</f>
        <v/>
      </c>
      <c r="C17" s="27">
        <f>'Rozpis podle pokojů'!C18</f>
        <v/>
      </c>
      <c r="D17" s="26" t="inlineStr">
        <is>
          <t>Pokoj 4</t>
        </is>
      </c>
      <c r="E17" s="23" t="inlineStr">
        <is>
          <t>Pokoj 1</t>
        </is>
      </c>
      <c r="F17" s="24" t="inlineStr">
        <is>
          <t>Pokoj 2</t>
        </is>
      </c>
      <c r="G17" s="25" t="inlineStr">
        <is>
          <t>Pokoj 3</t>
        </is>
      </c>
      <c r="H17" s="24" t="inlineStr">
        <is>
          <t>Pokoj 2</t>
        </is>
      </c>
      <c r="I17" s="23" t="inlineStr">
        <is>
          <t>Pokoj 1</t>
        </is>
      </c>
      <c r="J17" s="26" t="inlineStr">
        <is>
          <t>Pokoj 4</t>
        </is>
      </c>
      <c r="K17" s="25" t="inlineStr">
        <is>
          <t>Pokoj 3</t>
        </is>
      </c>
    </row>
    <row r="18" ht="22" customHeight="1">
      <c r="A18" s="11" t="inlineStr">
        <is>
          <t>Týden 13</t>
        </is>
      </c>
      <c r="B18" s="22">
        <f>'Rozpis podle pokojů'!B19</f>
        <v/>
      </c>
      <c r="C18" s="22">
        <f>'Rozpis podle pokojů'!C19</f>
        <v/>
      </c>
      <c r="D18" s="23" t="inlineStr">
        <is>
          <t>Pokoj 1</t>
        </is>
      </c>
      <c r="E18" s="24" t="inlineStr">
        <is>
          <t>Pokoj 2</t>
        </is>
      </c>
      <c r="F18" s="25" t="inlineStr">
        <is>
          <t>Pokoj 3</t>
        </is>
      </c>
      <c r="G18" s="26" t="inlineStr">
        <is>
          <t>Pokoj 4</t>
        </is>
      </c>
      <c r="H18" s="23" t="inlineStr">
        <is>
          <t>Pokoj 1</t>
        </is>
      </c>
      <c r="I18" s="24" t="inlineStr">
        <is>
          <t>Pokoj 2</t>
        </is>
      </c>
      <c r="J18" s="25" t="inlineStr">
        <is>
          <t>Pokoj 3</t>
        </is>
      </c>
      <c r="K18" s="26" t="inlineStr">
        <is>
          <t>Pokoj 4</t>
        </is>
      </c>
    </row>
    <row r="19" ht="22" customHeight="1">
      <c r="A19" s="14" t="inlineStr">
        <is>
          <t>Týden 14</t>
        </is>
      </c>
      <c r="B19" s="27">
        <f>'Rozpis podle pokojů'!B20</f>
        <v/>
      </c>
      <c r="C19" s="27">
        <f>'Rozpis podle pokojů'!C20</f>
        <v/>
      </c>
      <c r="D19" s="24" t="inlineStr">
        <is>
          <t>Pokoj 2</t>
        </is>
      </c>
      <c r="E19" s="25" t="inlineStr">
        <is>
          <t>Pokoj 3</t>
        </is>
      </c>
      <c r="F19" s="26" t="inlineStr">
        <is>
          <t>Pokoj 4</t>
        </is>
      </c>
      <c r="G19" s="23" t="inlineStr">
        <is>
          <t>Pokoj 1</t>
        </is>
      </c>
      <c r="H19" s="24" t="inlineStr">
        <is>
          <t>Pokoj 2</t>
        </is>
      </c>
      <c r="I19" s="23" t="inlineStr">
        <is>
          <t>Pokoj 1</t>
        </is>
      </c>
      <c r="J19" s="26" t="inlineStr">
        <is>
          <t>Pokoj 4</t>
        </is>
      </c>
      <c r="K19" s="25" t="inlineStr">
        <is>
          <t>Pokoj 3</t>
        </is>
      </c>
    </row>
    <row r="20" ht="22" customHeight="1">
      <c r="A20" s="11" t="inlineStr">
        <is>
          <t>Týden 15</t>
        </is>
      </c>
      <c r="B20" s="22">
        <f>'Rozpis podle pokojů'!B21</f>
        <v/>
      </c>
      <c r="C20" s="22">
        <f>'Rozpis podle pokojů'!C21</f>
        <v/>
      </c>
      <c r="D20" s="25" t="inlineStr">
        <is>
          <t>Pokoj 3</t>
        </is>
      </c>
      <c r="E20" s="26" t="inlineStr">
        <is>
          <t>Pokoj 4</t>
        </is>
      </c>
      <c r="F20" s="23" t="inlineStr">
        <is>
          <t>Pokoj 1</t>
        </is>
      </c>
      <c r="G20" s="24" t="inlineStr">
        <is>
          <t>Pokoj 2</t>
        </is>
      </c>
      <c r="H20" s="23" t="inlineStr">
        <is>
          <t>Pokoj 1</t>
        </is>
      </c>
      <c r="I20" s="24" t="inlineStr">
        <is>
          <t>Pokoj 2</t>
        </is>
      </c>
      <c r="J20" s="25" t="inlineStr">
        <is>
          <t>Pokoj 3</t>
        </is>
      </c>
      <c r="K20" s="26" t="inlineStr">
        <is>
          <t>Pokoj 4</t>
        </is>
      </c>
    </row>
    <row r="21" ht="22" customHeight="1">
      <c r="A21" s="14" t="inlineStr">
        <is>
          <t>Týden 16</t>
        </is>
      </c>
      <c r="B21" s="27">
        <f>'Rozpis podle pokojů'!B22</f>
        <v/>
      </c>
      <c r="C21" s="27">
        <f>'Rozpis podle pokojů'!C22</f>
        <v/>
      </c>
      <c r="D21" s="26" t="inlineStr">
        <is>
          <t>Pokoj 4</t>
        </is>
      </c>
      <c r="E21" s="23" t="inlineStr">
        <is>
          <t>Pokoj 1</t>
        </is>
      </c>
      <c r="F21" s="24" t="inlineStr">
        <is>
          <t>Pokoj 2</t>
        </is>
      </c>
      <c r="G21" s="25" t="inlineStr">
        <is>
          <t>Pokoj 3</t>
        </is>
      </c>
      <c r="H21" s="24" t="inlineStr">
        <is>
          <t>Pokoj 2</t>
        </is>
      </c>
      <c r="I21" s="23" t="inlineStr">
        <is>
          <t>Pokoj 1</t>
        </is>
      </c>
      <c r="J21" s="26" t="inlineStr">
        <is>
          <t>Pokoj 4</t>
        </is>
      </c>
      <c r="K21" s="25" t="inlineStr">
        <is>
          <t>Pokoj 3</t>
        </is>
      </c>
    </row>
    <row r="22" ht="22" customHeight="1">
      <c r="A22" s="11" t="inlineStr">
        <is>
          <t>Týden 17</t>
        </is>
      </c>
      <c r="B22" s="22">
        <f>'Rozpis podle pokojů'!B23</f>
        <v/>
      </c>
      <c r="C22" s="22">
        <f>'Rozpis podle pokojů'!C23</f>
        <v/>
      </c>
      <c r="D22" s="23" t="inlineStr">
        <is>
          <t>Pokoj 1</t>
        </is>
      </c>
      <c r="E22" s="24" t="inlineStr">
        <is>
          <t>Pokoj 2</t>
        </is>
      </c>
      <c r="F22" s="25" t="inlineStr">
        <is>
          <t>Pokoj 3</t>
        </is>
      </c>
      <c r="G22" s="26" t="inlineStr">
        <is>
          <t>Pokoj 4</t>
        </is>
      </c>
      <c r="H22" s="23" t="inlineStr">
        <is>
          <t>Pokoj 1</t>
        </is>
      </c>
      <c r="I22" s="24" t="inlineStr">
        <is>
          <t>Pokoj 2</t>
        </is>
      </c>
      <c r="J22" s="25" t="inlineStr">
        <is>
          <t>Pokoj 3</t>
        </is>
      </c>
      <c r="K22" s="26" t="inlineStr">
        <is>
          <t>Pokoj 4</t>
        </is>
      </c>
    </row>
    <row r="23" ht="22" customHeight="1">
      <c r="A23" s="14" t="inlineStr">
        <is>
          <t>Týden 18</t>
        </is>
      </c>
      <c r="B23" s="27">
        <f>'Rozpis podle pokojů'!B24</f>
        <v/>
      </c>
      <c r="C23" s="27">
        <f>'Rozpis podle pokojů'!C24</f>
        <v/>
      </c>
      <c r="D23" s="24" t="inlineStr">
        <is>
          <t>Pokoj 2</t>
        </is>
      </c>
      <c r="E23" s="25" t="inlineStr">
        <is>
          <t>Pokoj 3</t>
        </is>
      </c>
      <c r="F23" s="26" t="inlineStr">
        <is>
          <t>Pokoj 4</t>
        </is>
      </c>
      <c r="G23" s="23" t="inlineStr">
        <is>
          <t>Pokoj 1</t>
        </is>
      </c>
      <c r="H23" s="24" t="inlineStr">
        <is>
          <t>Pokoj 2</t>
        </is>
      </c>
      <c r="I23" s="23" t="inlineStr">
        <is>
          <t>Pokoj 1</t>
        </is>
      </c>
      <c r="J23" s="26" t="inlineStr">
        <is>
          <t>Pokoj 4</t>
        </is>
      </c>
      <c r="K23" s="25" t="inlineStr">
        <is>
          <t>Pokoj 3</t>
        </is>
      </c>
    </row>
    <row r="24" ht="22" customHeight="1">
      <c r="A24" s="11" t="inlineStr">
        <is>
          <t>Týden 19</t>
        </is>
      </c>
      <c r="B24" s="22">
        <f>'Rozpis podle pokojů'!B25</f>
        <v/>
      </c>
      <c r="C24" s="22">
        <f>'Rozpis podle pokojů'!C25</f>
        <v/>
      </c>
      <c r="D24" s="25" t="inlineStr">
        <is>
          <t>Pokoj 3</t>
        </is>
      </c>
      <c r="E24" s="26" t="inlineStr">
        <is>
          <t>Pokoj 4</t>
        </is>
      </c>
      <c r="F24" s="23" t="inlineStr">
        <is>
          <t>Pokoj 1</t>
        </is>
      </c>
      <c r="G24" s="24" t="inlineStr">
        <is>
          <t>Pokoj 2</t>
        </is>
      </c>
      <c r="H24" s="23" t="inlineStr">
        <is>
          <t>Pokoj 1</t>
        </is>
      </c>
      <c r="I24" s="24" t="inlineStr">
        <is>
          <t>Pokoj 2</t>
        </is>
      </c>
      <c r="J24" s="25" t="inlineStr">
        <is>
          <t>Pokoj 3</t>
        </is>
      </c>
      <c r="K24" s="26" t="inlineStr">
        <is>
          <t>Pokoj 4</t>
        </is>
      </c>
    </row>
    <row r="25" ht="22" customHeight="1">
      <c r="A25" s="14" t="inlineStr">
        <is>
          <t>Týden 20</t>
        </is>
      </c>
      <c r="B25" s="27">
        <f>'Rozpis podle pokojů'!B26</f>
        <v/>
      </c>
      <c r="C25" s="27">
        <f>'Rozpis podle pokojů'!C26</f>
        <v/>
      </c>
      <c r="D25" s="26" t="inlineStr">
        <is>
          <t>Pokoj 4</t>
        </is>
      </c>
      <c r="E25" s="23" t="inlineStr">
        <is>
          <t>Pokoj 1</t>
        </is>
      </c>
      <c r="F25" s="24" t="inlineStr">
        <is>
          <t>Pokoj 2</t>
        </is>
      </c>
      <c r="G25" s="25" t="inlineStr">
        <is>
          <t>Pokoj 3</t>
        </is>
      </c>
      <c r="H25" s="24" t="inlineStr">
        <is>
          <t>Pokoj 2</t>
        </is>
      </c>
      <c r="I25" s="23" t="inlineStr">
        <is>
          <t>Pokoj 1</t>
        </is>
      </c>
      <c r="J25" s="26" t="inlineStr">
        <is>
          <t>Pokoj 4</t>
        </is>
      </c>
      <c r="K25" s="25" t="inlineStr">
        <is>
          <t>Pokoj 3</t>
        </is>
      </c>
    </row>
    <row r="26" ht="22" customHeight="1">
      <c r="A26" s="11" t="inlineStr">
        <is>
          <t>Týden 21</t>
        </is>
      </c>
      <c r="B26" s="22">
        <f>'Rozpis podle pokojů'!B27</f>
        <v/>
      </c>
      <c r="C26" s="22">
        <f>'Rozpis podle pokojů'!C27</f>
        <v/>
      </c>
      <c r="D26" s="23" t="inlineStr">
        <is>
          <t>Pokoj 1</t>
        </is>
      </c>
      <c r="E26" s="24" t="inlineStr">
        <is>
          <t>Pokoj 2</t>
        </is>
      </c>
      <c r="F26" s="25" t="inlineStr">
        <is>
          <t>Pokoj 3</t>
        </is>
      </c>
      <c r="G26" s="26" t="inlineStr">
        <is>
          <t>Pokoj 4</t>
        </is>
      </c>
      <c r="H26" s="23" t="inlineStr">
        <is>
          <t>Pokoj 1</t>
        </is>
      </c>
      <c r="I26" s="24" t="inlineStr">
        <is>
          <t>Pokoj 2</t>
        </is>
      </c>
      <c r="J26" s="25" t="inlineStr">
        <is>
          <t>Pokoj 3</t>
        </is>
      </c>
      <c r="K26" s="26" t="inlineStr">
        <is>
          <t>Pokoj 4</t>
        </is>
      </c>
    </row>
    <row r="27" ht="22" customHeight="1">
      <c r="A27" s="14" t="inlineStr">
        <is>
          <t>Týden 22</t>
        </is>
      </c>
      <c r="B27" s="27">
        <f>'Rozpis podle pokojů'!B28</f>
        <v/>
      </c>
      <c r="C27" s="27">
        <f>'Rozpis podle pokojů'!C28</f>
        <v/>
      </c>
      <c r="D27" s="24" t="inlineStr">
        <is>
          <t>Pokoj 2</t>
        </is>
      </c>
      <c r="E27" s="25" t="inlineStr">
        <is>
          <t>Pokoj 3</t>
        </is>
      </c>
      <c r="F27" s="26" t="inlineStr">
        <is>
          <t>Pokoj 4</t>
        </is>
      </c>
      <c r="G27" s="23" t="inlineStr">
        <is>
          <t>Pokoj 1</t>
        </is>
      </c>
      <c r="H27" s="24" t="inlineStr">
        <is>
          <t>Pokoj 2</t>
        </is>
      </c>
      <c r="I27" s="23" t="inlineStr">
        <is>
          <t>Pokoj 1</t>
        </is>
      </c>
      <c r="J27" s="26" t="inlineStr">
        <is>
          <t>Pokoj 4</t>
        </is>
      </c>
      <c r="K27" s="25" t="inlineStr">
        <is>
          <t>Pokoj 3</t>
        </is>
      </c>
    </row>
    <row r="28" ht="22" customHeight="1">
      <c r="A28" s="11" t="inlineStr">
        <is>
          <t>Týden 23</t>
        </is>
      </c>
      <c r="B28" s="22">
        <f>'Rozpis podle pokojů'!B29</f>
        <v/>
      </c>
      <c r="C28" s="22">
        <f>'Rozpis podle pokojů'!C29</f>
        <v/>
      </c>
      <c r="D28" s="25" t="inlineStr">
        <is>
          <t>Pokoj 3</t>
        </is>
      </c>
      <c r="E28" s="26" t="inlineStr">
        <is>
          <t>Pokoj 4</t>
        </is>
      </c>
      <c r="F28" s="23" t="inlineStr">
        <is>
          <t>Pokoj 1</t>
        </is>
      </c>
      <c r="G28" s="24" t="inlineStr">
        <is>
          <t>Pokoj 2</t>
        </is>
      </c>
      <c r="H28" s="23" t="inlineStr">
        <is>
          <t>Pokoj 1</t>
        </is>
      </c>
      <c r="I28" s="24" t="inlineStr">
        <is>
          <t>Pokoj 2</t>
        </is>
      </c>
      <c r="J28" s="25" t="inlineStr">
        <is>
          <t>Pokoj 3</t>
        </is>
      </c>
      <c r="K28" s="26" t="inlineStr">
        <is>
          <t>Pokoj 4</t>
        </is>
      </c>
    </row>
    <row r="29" ht="22" customHeight="1">
      <c r="A29" s="14" t="inlineStr">
        <is>
          <t>Týden 24</t>
        </is>
      </c>
      <c r="B29" s="27">
        <f>'Rozpis podle pokojů'!B30</f>
        <v/>
      </c>
      <c r="C29" s="27">
        <f>'Rozpis podle pokojů'!C30</f>
        <v/>
      </c>
      <c r="D29" s="26" t="inlineStr">
        <is>
          <t>Pokoj 4</t>
        </is>
      </c>
      <c r="E29" s="23" t="inlineStr">
        <is>
          <t>Pokoj 1</t>
        </is>
      </c>
      <c r="F29" s="24" t="inlineStr">
        <is>
          <t>Pokoj 2</t>
        </is>
      </c>
      <c r="G29" s="25" t="inlineStr">
        <is>
          <t>Pokoj 3</t>
        </is>
      </c>
      <c r="H29" s="24" t="inlineStr">
        <is>
          <t>Pokoj 2</t>
        </is>
      </c>
      <c r="I29" s="23" t="inlineStr">
        <is>
          <t>Pokoj 1</t>
        </is>
      </c>
      <c r="J29" s="26" t="inlineStr">
        <is>
          <t>Pokoj 4</t>
        </is>
      </c>
      <c r="K29" s="25" t="inlineStr">
        <is>
          <t>Pokoj 3</t>
        </is>
      </c>
    </row>
    <row r="30" ht="22" customHeight="1">
      <c r="A30" s="11" t="inlineStr">
        <is>
          <t>Týden 25</t>
        </is>
      </c>
      <c r="B30" s="22">
        <f>'Rozpis podle pokojů'!B31</f>
        <v/>
      </c>
      <c r="C30" s="22">
        <f>'Rozpis podle pokojů'!C31</f>
        <v/>
      </c>
      <c r="D30" s="23" t="inlineStr">
        <is>
          <t>Pokoj 1</t>
        </is>
      </c>
      <c r="E30" s="24" t="inlineStr">
        <is>
          <t>Pokoj 2</t>
        </is>
      </c>
      <c r="F30" s="25" t="inlineStr">
        <is>
          <t>Pokoj 3</t>
        </is>
      </c>
      <c r="G30" s="26" t="inlineStr">
        <is>
          <t>Pokoj 4</t>
        </is>
      </c>
      <c r="H30" s="23" t="inlineStr">
        <is>
          <t>Pokoj 1</t>
        </is>
      </c>
      <c r="I30" s="24" t="inlineStr">
        <is>
          <t>Pokoj 2</t>
        </is>
      </c>
      <c r="J30" s="25" t="inlineStr">
        <is>
          <t>Pokoj 3</t>
        </is>
      </c>
      <c r="K30" s="26" t="inlineStr">
        <is>
          <t>Pokoj 4</t>
        </is>
      </c>
    </row>
    <row r="31" ht="22" customHeight="1">
      <c r="A31" s="14" t="inlineStr">
        <is>
          <t>Týden 26</t>
        </is>
      </c>
      <c r="B31" s="27">
        <f>'Rozpis podle pokojů'!B32</f>
        <v/>
      </c>
      <c r="C31" s="27">
        <f>'Rozpis podle pokojů'!C32</f>
        <v/>
      </c>
      <c r="D31" s="24" t="inlineStr">
        <is>
          <t>Pokoj 2</t>
        </is>
      </c>
      <c r="E31" s="25" t="inlineStr">
        <is>
          <t>Pokoj 3</t>
        </is>
      </c>
      <c r="F31" s="26" t="inlineStr">
        <is>
          <t>Pokoj 4</t>
        </is>
      </c>
      <c r="G31" s="23" t="inlineStr">
        <is>
          <t>Pokoj 1</t>
        </is>
      </c>
      <c r="H31" s="24" t="inlineStr">
        <is>
          <t>Pokoj 2</t>
        </is>
      </c>
      <c r="I31" s="23" t="inlineStr">
        <is>
          <t>Pokoj 1</t>
        </is>
      </c>
      <c r="J31" s="26" t="inlineStr">
        <is>
          <t>Pokoj 4</t>
        </is>
      </c>
      <c r="K31" s="25" t="inlineStr">
        <is>
          <t>Pokoj 3</t>
        </is>
      </c>
    </row>
    <row r="32" ht="22" customHeight="1">
      <c r="A32" s="11" t="inlineStr">
        <is>
          <t>Týden 27</t>
        </is>
      </c>
      <c r="B32" s="22">
        <f>'Rozpis podle pokojů'!B33</f>
        <v/>
      </c>
      <c r="C32" s="22">
        <f>'Rozpis podle pokojů'!C33</f>
        <v/>
      </c>
      <c r="D32" s="25" t="inlineStr">
        <is>
          <t>Pokoj 3</t>
        </is>
      </c>
      <c r="E32" s="26" t="inlineStr">
        <is>
          <t>Pokoj 4</t>
        </is>
      </c>
      <c r="F32" s="23" t="inlineStr">
        <is>
          <t>Pokoj 1</t>
        </is>
      </c>
      <c r="G32" s="24" t="inlineStr">
        <is>
          <t>Pokoj 2</t>
        </is>
      </c>
      <c r="H32" s="23" t="inlineStr">
        <is>
          <t>Pokoj 1</t>
        </is>
      </c>
      <c r="I32" s="24" t="inlineStr">
        <is>
          <t>Pokoj 2</t>
        </is>
      </c>
      <c r="J32" s="25" t="inlineStr">
        <is>
          <t>Pokoj 3</t>
        </is>
      </c>
      <c r="K32" s="26" t="inlineStr">
        <is>
          <t>Pokoj 4</t>
        </is>
      </c>
    </row>
    <row r="33" ht="22" customHeight="1">
      <c r="A33" s="14" t="inlineStr">
        <is>
          <t>Týden 28</t>
        </is>
      </c>
      <c r="B33" s="27">
        <f>'Rozpis podle pokojů'!B34</f>
        <v/>
      </c>
      <c r="C33" s="27">
        <f>'Rozpis podle pokojů'!C34</f>
        <v/>
      </c>
      <c r="D33" s="26" t="inlineStr">
        <is>
          <t>Pokoj 4</t>
        </is>
      </c>
      <c r="E33" s="23" t="inlineStr">
        <is>
          <t>Pokoj 1</t>
        </is>
      </c>
      <c r="F33" s="24" t="inlineStr">
        <is>
          <t>Pokoj 2</t>
        </is>
      </c>
      <c r="G33" s="25" t="inlineStr">
        <is>
          <t>Pokoj 3</t>
        </is>
      </c>
      <c r="H33" s="24" t="inlineStr">
        <is>
          <t>Pokoj 2</t>
        </is>
      </c>
      <c r="I33" s="23" t="inlineStr">
        <is>
          <t>Pokoj 1</t>
        </is>
      </c>
      <c r="J33" s="26" t="inlineStr">
        <is>
          <t>Pokoj 4</t>
        </is>
      </c>
      <c r="K33" s="25" t="inlineStr">
        <is>
          <t>Pokoj 3</t>
        </is>
      </c>
    </row>
    <row r="34" ht="22" customHeight="1">
      <c r="A34" s="11" t="inlineStr">
        <is>
          <t>Týden 29</t>
        </is>
      </c>
      <c r="B34" s="22">
        <f>'Rozpis podle pokojů'!B35</f>
        <v/>
      </c>
      <c r="C34" s="22">
        <f>'Rozpis podle pokojů'!C35</f>
        <v/>
      </c>
      <c r="D34" s="23" t="inlineStr">
        <is>
          <t>Pokoj 1</t>
        </is>
      </c>
      <c r="E34" s="24" t="inlineStr">
        <is>
          <t>Pokoj 2</t>
        </is>
      </c>
      <c r="F34" s="25" t="inlineStr">
        <is>
          <t>Pokoj 3</t>
        </is>
      </c>
      <c r="G34" s="26" t="inlineStr">
        <is>
          <t>Pokoj 4</t>
        </is>
      </c>
      <c r="H34" s="23" t="inlineStr">
        <is>
          <t>Pokoj 1</t>
        </is>
      </c>
      <c r="I34" s="24" t="inlineStr">
        <is>
          <t>Pokoj 2</t>
        </is>
      </c>
      <c r="J34" s="25" t="inlineStr">
        <is>
          <t>Pokoj 3</t>
        </is>
      </c>
      <c r="K34" s="26" t="inlineStr">
        <is>
          <t>Pokoj 4</t>
        </is>
      </c>
    </row>
    <row r="35" ht="22" customHeight="1">
      <c r="A35" s="14" t="inlineStr">
        <is>
          <t>Týden 30</t>
        </is>
      </c>
      <c r="B35" s="27">
        <f>'Rozpis podle pokojů'!B36</f>
        <v/>
      </c>
      <c r="C35" s="27">
        <f>'Rozpis podle pokojů'!C36</f>
        <v/>
      </c>
      <c r="D35" s="24" t="inlineStr">
        <is>
          <t>Pokoj 2</t>
        </is>
      </c>
      <c r="E35" s="25" t="inlineStr">
        <is>
          <t>Pokoj 3</t>
        </is>
      </c>
      <c r="F35" s="26" t="inlineStr">
        <is>
          <t>Pokoj 4</t>
        </is>
      </c>
      <c r="G35" s="23" t="inlineStr">
        <is>
          <t>Pokoj 1</t>
        </is>
      </c>
      <c r="H35" s="24" t="inlineStr">
        <is>
          <t>Pokoj 2</t>
        </is>
      </c>
      <c r="I35" s="23" t="inlineStr">
        <is>
          <t>Pokoj 1</t>
        </is>
      </c>
      <c r="J35" s="26" t="inlineStr">
        <is>
          <t>Pokoj 4</t>
        </is>
      </c>
      <c r="K35" s="25" t="inlineStr">
        <is>
          <t>Pokoj 3</t>
        </is>
      </c>
    </row>
    <row r="36" ht="22" customHeight="1">
      <c r="A36" s="11" t="inlineStr">
        <is>
          <t>Týden 31</t>
        </is>
      </c>
      <c r="B36" s="22">
        <f>'Rozpis podle pokojů'!B37</f>
        <v/>
      </c>
      <c r="C36" s="22">
        <f>'Rozpis podle pokojů'!C37</f>
        <v/>
      </c>
      <c r="D36" s="25" t="inlineStr">
        <is>
          <t>Pokoj 3</t>
        </is>
      </c>
      <c r="E36" s="26" t="inlineStr">
        <is>
          <t>Pokoj 4</t>
        </is>
      </c>
      <c r="F36" s="23" t="inlineStr">
        <is>
          <t>Pokoj 1</t>
        </is>
      </c>
      <c r="G36" s="24" t="inlineStr">
        <is>
          <t>Pokoj 2</t>
        </is>
      </c>
      <c r="H36" s="23" t="inlineStr">
        <is>
          <t>Pokoj 1</t>
        </is>
      </c>
      <c r="I36" s="24" t="inlineStr">
        <is>
          <t>Pokoj 2</t>
        </is>
      </c>
      <c r="J36" s="25" t="inlineStr">
        <is>
          <t>Pokoj 3</t>
        </is>
      </c>
      <c r="K36" s="26" t="inlineStr">
        <is>
          <t>Pokoj 4</t>
        </is>
      </c>
    </row>
    <row r="37" ht="22" customHeight="1">
      <c r="A37" s="14" t="inlineStr">
        <is>
          <t>Týden 32</t>
        </is>
      </c>
      <c r="B37" s="27">
        <f>'Rozpis podle pokojů'!B38</f>
        <v/>
      </c>
      <c r="C37" s="27">
        <f>'Rozpis podle pokojů'!C38</f>
        <v/>
      </c>
      <c r="D37" s="26" t="inlineStr">
        <is>
          <t>Pokoj 4</t>
        </is>
      </c>
      <c r="E37" s="23" t="inlineStr">
        <is>
          <t>Pokoj 1</t>
        </is>
      </c>
      <c r="F37" s="24" t="inlineStr">
        <is>
          <t>Pokoj 2</t>
        </is>
      </c>
      <c r="G37" s="25" t="inlineStr">
        <is>
          <t>Pokoj 3</t>
        </is>
      </c>
      <c r="H37" s="24" t="inlineStr">
        <is>
          <t>Pokoj 2</t>
        </is>
      </c>
      <c r="I37" s="23" t="inlineStr">
        <is>
          <t>Pokoj 1</t>
        </is>
      </c>
      <c r="J37" s="26" t="inlineStr">
        <is>
          <t>Pokoj 4</t>
        </is>
      </c>
      <c r="K37" s="25" t="inlineStr">
        <is>
          <t>Pokoj 3</t>
        </is>
      </c>
    </row>
    <row r="38" ht="22" customHeight="1">
      <c r="A38" s="11" t="inlineStr">
        <is>
          <t>Týden 33</t>
        </is>
      </c>
      <c r="B38" s="22">
        <f>'Rozpis podle pokojů'!B39</f>
        <v/>
      </c>
      <c r="C38" s="22">
        <f>'Rozpis podle pokojů'!C39</f>
        <v/>
      </c>
      <c r="D38" s="23" t="inlineStr">
        <is>
          <t>Pokoj 1</t>
        </is>
      </c>
      <c r="E38" s="24" t="inlineStr">
        <is>
          <t>Pokoj 2</t>
        </is>
      </c>
      <c r="F38" s="25" t="inlineStr">
        <is>
          <t>Pokoj 3</t>
        </is>
      </c>
      <c r="G38" s="26" t="inlineStr">
        <is>
          <t>Pokoj 4</t>
        </is>
      </c>
      <c r="H38" s="23" t="inlineStr">
        <is>
          <t>Pokoj 1</t>
        </is>
      </c>
      <c r="I38" s="24" t="inlineStr">
        <is>
          <t>Pokoj 2</t>
        </is>
      </c>
      <c r="J38" s="25" t="inlineStr">
        <is>
          <t>Pokoj 3</t>
        </is>
      </c>
      <c r="K38" s="26" t="inlineStr">
        <is>
          <t>Pokoj 4</t>
        </is>
      </c>
    </row>
    <row r="39" ht="22" customHeight="1">
      <c r="A39" s="14" t="inlineStr">
        <is>
          <t>Týden 34</t>
        </is>
      </c>
      <c r="B39" s="27">
        <f>'Rozpis podle pokojů'!B40</f>
        <v/>
      </c>
      <c r="C39" s="27">
        <f>'Rozpis podle pokojů'!C40</f>
        <v/>
      </c>
      <c r="D39" s="24" t="inlineStr">
        <is>
          <t>Pokoj 2</t>
        </is>
      </c>
      <c r="E39" s="25" t="inlineStr">
        <is>
          <t>Pokoj 3</t>
        </is>
      </c>
      <c r="F39" s="26" t="inlineStr">
        <is>
          <t>Pokoj 4</t>
        </is>
      </c>
      <c r="G39" s="23" t="inlineStr">
        <is>
          <t>Pokoj 1</t>
        </is>
      </c>
      <c r="H39" s="24" t="inlineStr">
        <is>
          <t>Pokoj 2</t>
        </is>
      </c>
      <c r="I39" s="23" t="inlineStr">
        <is>
          <t>Pokoj 1</t>
        </is>
      </c>
      <c r="J39" s="26" t="inlineStr">
        <is>
          <t>Pokoj 4</t>
        </is>
      </c>
      <c r="K39" s="25" t="inlineStr">
        <is>
          <t>Pokoj 3</t>
        </is>
      </c>
    </row>
    <row r="40" ht="22" customHeight="1">
      <c r="A40" s="11" t="inlineStr">
        <is>
          <t>Týden 35</t>
        </is>
      </c>
      <c r="B40" s="22">
        <f>'Rozpis podle pokojů'!B41</f>
        <v/>
      </c>
      <c r="C40" s="22">
        <f>'Rozpis podle pokojů'!C41</f>
        <v/>
      </c>
      <c r="D40" s="25" t="inlineStr">
        <is>
          <t>Pokoj 3</t>
        </is>
      </c>
      <c r="E40" s="26" t="inlineStr">
        <is>
          <t>Pokoj 4</t>
        </is>
      </c>
      <c r="F40" s="23" t="inlineStr">
        <is>
          <t>Pokoj 1</t>
        </is>
      </c>
      <c r="G40" s="24" t="inlineStr">
        <is>
          <t>Pokoj 2</t>
        </is>
      </c>
      <c r="H40" s="23" t="inlineStr">
        <is>
          <t>Pokoj 1</t>
        </is>
      </c>
      <c r="I40" s="24" t="inlineStr">
        <is>
          <t>Pokoj 2</t>
        </is>
      </c>
      <c r="J40" s="25" t="inlineStr">
        <is>
          <t>Pokoj 3</t>
        </is>
      </c>
      <c r="K40" s="26" t="inlineStr">
        <is>
          <t>Pokoj 4</t>
        </is>
      </c>
    </row>
    <row r="41" ht="22" customHeight="1">
      <c r="A41" s="14" t="inlineStr">
        <is>
          <t>Týden 36</t>
        </is>
      </c>
      <c r="B41" s="27">
        <f>'Rozpis podle pokojů'!B42</f>
        <v/>
      </c>
      <c r="C41" s="27">
        <f>'Rozpis podle pokojů'!C42</f>
        <v/>
      </c>
      <c r="D41" s="26" t="inlineStr">
        <is>
          <t>Pokoj 4</t>
        </is>
      </c>
      <c r="E41" s="23" t="inlineStr">
        <is>
          <t>Pokoj 1</t>
        </is>
      </c>
      <c r="F41" s="24" t="inlineStr">
        <is>
          <t>Pokoj 2</t>
        </is>
      </c>
      <c r="G41" s="25" t="inlineStr">
        <is>
          <t>Pokoj 3</t>
        </is>
      </c>
      <c r="H41" s="24" t="inlineStr">
        <is>
          <t>Pokoj 2</t>
        </is>
      </c>
      <c r="I41" s="23" t="inlineStr">
        <is>
          <t>Pokoj 1</t>
        </is>
      </c>
      <c r="J41" s="26" t="inlineStr">
        <is>
          <t>Pokoj 4</t>
        </is>
      </c>
      <c r="K41" s="25" t="inlineStr">
        <is>
          <t>Pokoj 3</t>
        </is>
      </c>
    </row>
    <row r="42" ht="22" customHeight="1">
      <c r="A42" s="11" t="inlineStr">
        <is>
          <t>Týden 37</t>
        </is>
      </c>
      <c r="B42" s="22">
        <f>'Rozpis podle pokojů'!B43</f>
        <v/>
      </c>
      <c r="C42" s="22">
        <f>'Rozpis podle pokojů'!C43</f>
        <v/>
      </c>
      <c r="D42" s="23" t="inlineStr">
        <is>
          <t>Pokoj 1</t>
        </is>
      </c>
      <c r="E42" s="24" t="inlineStr">
        <is>
          <t>Pokoj 2</t>
        </is>
      </c>
      <c r="F42" s="25" t="inlineStr">
        <is>
          <t>Pokoj 3</t>
        </is>
      </c>
      <c r="G42" s="26" t="inlineStr">
        <is>
          <t>Pokoj 4</t>
        </is>
      </c>
      <c r="H42" s="23" t="inlineStr">
        <is>
          <t>Pokoj 1</t>
        </is>
      </c>
      <c r="I42" s="24" t="inlineStr">
        <is>
          <t>Pokoj 2</t>
        </is>
      </c>
      <c r="J42" s="25" t="inlineStr">
        <is>
          <t>Pokoj 3</t>
        </is>
      </c>
      <c r="K42" s="26" t="inlineStr">
        <is>
          <t>Pokoj 4</t>
        </is>
      </c>
    </row>
    <row r="43" ht="22" customHeight="1">
      <c r="A43" s="14" t="inlineStr">
        <is>
          <t>Týden 38</t>
        </is>
      </c>
      <c r="B43" s="27">
        <f>'Rozpis podle pokojů'!B44</f>
        <v/>
      </c>
      <c r="C43" s="27">
        <f>'Rozpis podle pokojů'!C44</f>
        <v/>
      </c>
      <c r="D43" s="24" t="inlineStr">
        <is>
          <t>Pokoj 2</t>
        </is>
      </c>
      <c r="E43" s="25" t="inlineStr">
        <is>
          <t>Pokoj 3</t>
        </is>
      </c>
      <c r="F43" s="26" t="inlineStr">
        <is>
          <t>Pokoj 4</t>
        </is>
      </c>
      <c r="G43" s="23" t="inlineStr">
        <is>
          <t>Pokoj 1</t>
        </is>
      </c>
      <c r="H43" s="24" t="inlineStr">
        <is>
          <t>Pokoj 2</t>
        </is>
      </c>
      <c r="I43" s="23" t="inlineStr">
        <is>
          <t>Pokoj 1</t>
        </is>
      </c>
      <c r="J43" s="26" t="inlineStr">
        <is>
          <t>Pokoj 4</t>
        </is>
      </c>
      <c r="K43" s="25" t="inlineStr">
        <is>
          <t>Pokoj 3</t>
        </is>
      </c>
    </row>
    <row r="44" ht="22" customHeight="1">
      <c r="A44" s="11" t="inlineStr">
        <is>
          <t>Týden 39</t>
        </is>
      </c>
      <c r="B44" s="22">
        <f>'Rozpis podle pokojů'!B45</f>
        <v/>
      </c>
      <c r="C44" s="22">
        <f>'Rozpis podle pokojů'!C45</f>
        <v/>
      </c>
      <c r="D44" s="25" t="inlineStr">
        <is>
          <t>Pokoj 3</t>
        </is>
      </c>
      <c r="E44" s="26" t="inlineStr">
        <is>
          <t>Pokoj 4</t>
        </is>
      </c>
      <c r="F44" s="23" t="inlineStr">
        <is>
          <t>Pokoj 1</t>
        </is>
      </c>
      <c r="G44" s="24" t="inlineStr">
        <is>
          <t>Pokoj 2</t>
        </is>
      </c>
      <c r="H44" s="23" t="inlineStr">
        <is>
          <t>Pokoj 1</t>
        </is>
      </c>
      <c r="I44" s="24" t="inlineStr">
        <is>
          <t>Pokoj 2</t>
        </is>
      </c>
      <c r="J44" s="25" t="inlineStr">
        <is>
          <t>Pokoj 3</t>
        </is>
      </c>
      <c r="K44" s="26" t="inlineStr">
        <is>
          <t>Pokoj 4</t>
        </is>
      </c>
    </row>
    <row r="45" ht="22" customHeight="1">
      <c r="A45" s="14" t="inlineStr">
        <is>
          <t>Týden 40</t>
        </is>
      </c>
      <c r="B45" s="27">
        <f>'Rozpis podle pokojů'!B46</f>
        <v/>
      </c>
      <c r="C45" s="27">
        <f>'Rozpis podle pokojů'!C46</f>
        <v/>
      </c>
      <c r="D45" s="26" t="inlineStr">
        <is>
          <t>Pokoj 4</t>
        </is>
      </c>
      <c r="E45" s="23" t="inlineStr">
        <is>
          <t>Pokoj 1</t>
        </is>
      </c>
      <c r="F45" s="24" t="inlineStr">
        <is>
          <t>Pokoj 2</t>
        </is>
      </c>
      <c r="G45" s="25" t="inlineStr">
        <is>
          <t>Pokoj 3</t>
        </is>
      </c>
      <c r="H45" s="24" t="inlineStr">
        <is>
          <t>Pokoj 2</t>
        </is>
      </c>
      <c r="I45" s="23" t="inlineStr">
        <is>
          <t>Pokoj 1</t>
        </is>
      </c>
      <c r="J45" s="26" t="inlineStr">
        <is>
          <t>Pokoj 4</t>
        </is>
      </c>
      <c r="K45" s="25" t="inlineStr">
        <is>
          <t>Pokoj 3</t>
        </is>
      </c>
    </row>
    <row r="46" ht="22" customHeight="1">
      <c r="A46" s="11" t="inlineStr">
        <is>
          <t>Týden 41</t>
        </is>
      </c>
      <c r="B46" s="22">
        <f>'Rozpis podle pokojů'!B47</f>
        <v/>
      </c>
      <c r="C46" s="22">
        <f>'Rozpis podle pokojů'!C47</f>
        <v/>
      </c>
      <c r="D46" s="23" t="inlineStr">
        <is>
          <t>Pokoj 1</t>
        </is>
      </c>
      <c r="E46" s="24" t="inlineStr">
        <is>
          <t>Pokoj 2</t>
        </is>
      </c>
      <c r="F46" s="25" t="inlineStr">
        <is>
          <t>Pokoj 3</t>
        </is>
      </c>
      <c r="G46" s="26" t="inlineStr">
        <is>
          <t>Pokoj 4</t>
        </is>
      </c>
      <c r="H46" s="23" t="inlineStr">
        <is>
          <t>Pokoj 1</t>
        </is>
      </c>
      <c r="I46" s="24" t="inlineStr">
        <is>
          <t>Pokoj 2</t>
        </is>
      </c>
      <c r="J46" s="25" t="inlineStr">
        <is>
          <t>Pokoj 3</t>
        </is>
      </c>
      <c r="K46" s="26" t="inlineStr">
        <is>
          <t>Pokoj 4</t>
        </is>
      </c>
    </row>
    <row r="47" ht="22" customHeight="1">
      <c r="A47" s="14" t="inlineStr">
        <is>
          <t>Týden 42</t>
        </is>
      </c>
      <c r="B47" s="27">
        <f>'Rozpis podle pokojů'!B48</f>
        <v/>
      </c>
      <c r="C47" s="27">
        <f>'Rozpis podle pokojů'!C48</f>
        <v/>
      </c>
      <c r="D47" s="24" t="inlineStr">
        <is>
          <t>Pokoj 2</t>
        </is>
      </c>
      <c r="E47" s="25" t="inlineStr">
        <is>
          <t>Pokoj 3</t>
        </is>
      </c>
      <c r="F47" s="26" t="inlineStr">
        <is>
          <t>Pokoj 4</t>
        </is>
      </c>
      <c r="G47" s="23" t="inlineStr">
        <is>
          <t>Pokoj 1</t>
        </is>
      </c>
      <c r="H47" s="24" t="inlineStr">
        <is>
          <t>Pokoj 2</t>
        </is>
      </c>
      <c r="I47" s="23" t="inlineStr">
        <is>
          <t>Pokoj 1</t>
        </is>
      </c>
      <c r="J47" s="26" t="inlineStr">
        <is>
          <t>Pokoj 4</t>
        </is>
      </c>
      <c r="K47" s="25" t="inlineStr">
        <is>
          <t>Pokoj 3</t>
        </is>
      </c>
    </row>
    <row r="48" ht="22" customHeight="1">
      <c r="A48" s="11" t="inlineStr">
        <is>
          <t>Týden 43</t>
        </is>
      </c>
      <c r="B48" s="22">
        <f>'Rozpis podle pokojů'!B49</f>
        <v/>
      </c>
      <c r="C48" s="22">
        <f>'Rozpis podle pokojů'!C49</f>
        <v/>
      </c>
      <c r="D48" s="25" t="inlineStr">
        <is>
          <t>Pokoj 3</t>
        </is>
      </c>
      <c r="E48" s="26" t="inlineStr">
        <is>
          <t>Pokoj 4</t>
        </is>
      </c>
      <c r="F48" s="23" t="inlineStr">
        <is>
          <t>Pokoj 1</t>
        </is>
      </c>
      <c r="G48" s="24" t="inlineStr">
        <is>
          <t>Pokoj 2</t>
        </is>
      </c>
      <c r="H48" s="23" t="inlineStr">
        <is>
          <t>Pokoj 1</t>
        </is>
      </c>
      <c r="I48" s="24" t="inlineStr">
        <is>
          <t>Pokoj 2</t>
        </is>
      </c>
      <c r="J48" s="25" t="inlineStr">
        <is>
          <t>Pokoj 3</t>
        </is>
      </c>
      <c r="K48" s="26" t="inlineStr">
        <is>
          <t>Pokoj 4</t>
        </is>
      </c>
    </row>
    <row r="49" ht="22" customHeight="1">
      <c r="A49" s="14" t="inlineStr">
        <is>
          <t>Týden 44</t>
        </is>
      </c>
      <c r="B49" s="27">
        <f>'Rozpis podle pokojů'!B50</f>
        <v/>
      </c>
      <c r="C49" s="27">
        <f>'Rozpis podle pokojů'!C50</f>
        <v/>
      </c>
      <c r="D49" s="26" t="inlineStr">
        <is>
          <t>Pokoj 4</t>
        </is>
      </c>
      <c r="E49" s="23" t="inlineStr">
        <is>
          <t>Pokoj 1</t>
        </is>
      </c>
      <c r="F49" s="24" t="inlineStr">
        <is>
          <t>Pokoj 2</t>
        </is>
      </c>
      <c r="G49" s="25" t="inlineStr">
        <is>
          <t>Pokoj 3</t>
        </is>
      </c>
      <c r="H49" s="24" t="inlineStr">
        <is>
          <t>Pokoj 2</t>
        </is>
      </c>
      <c r="I49" s="23" t="inlineStr">
        <is>
          <t>Pokoj 1</t>
        </is>
      </c>
      <c r="J49" s="26" t="inlineStr">
        <is>
          <t>Pokoj 4</t>
        </is>
      </c>
      <c r="K49" s="25" t="inlineStr">
        <is>
          <t>Pokoj 3</t>
        </is>
      </c>
    </row>
    <row r="50" ht="22" customHeight="1">
      <c r="A50" s="11" t="inlineStr">
        <is>
          <t>Týden 45</t>
        </is>
      </c>
      <c r="B50" s="22">
        <f>'Rozpis podle pokojů'!B51</f>
        <v/>
      </c>
      <c r="C50" s="22">
        <f>'Rozpis podle pokojů'!C51</f>
        <v/>
      </c>
      <c r="D50" s="23" t="inlineStr">
        <is>
          <t>Pokoj 1</t>
        </is>
      </c>
      <c r="E50" s="24" t="inlineStr">
        <is>
          <t>Pokoj 2</t>
        </is>
      </c>
      <c r="F50" s="25" t="inlineStr">
        <is>
          <t>Pokoj 3</t>
        </is>
      </c>
      <c r="G50" s="26" t="inlineStr">
        <is>
          <t>Pokoj 4</t>
        </is>
      </c>
      <c r="H50" s="23" t="inlineStr">
        <is>
          <t>Pokoj 1</t>
        </is>
      </c>
      <c r="I50" s="24" t="inlineStr">
        <is>
          <t>Pokoj 2</t>
        </is>
      </c>
      <c r="J50" s="25" t="inlineStr">
        <is>
          <t>Pokoj 3</t>
        </is>
      </c>
      <c r="K50" s="26" t="inlineStr">
        <is>
          <t>Pokoj 4</t>
        </is>
      </c>
    </row>
    <row r="51" ht="22" customHeight="1">
      <c r="A51" s="14" t="inlineStr">
        <is>
          <t>Týden 46</t>
        </is>
      </c>
      <c r="B51" s="27">
        <f>'Rozpis podle pokojů'!B52</f>
        <v/>
      </c>
      <c r="C51" s="27">
        <f>'Rozpis podle pokojů'!C52</f>
        <v/>
      </c>
      <c r="D51" s="24" t="inlineStr">
        <is>
          <t>Pokoj 2</t>
        </is>
      </c>
      <c r="E51" s="25" t="inlineStr">
        <is>
          <t>Pokoj 3</t>
        </is>
      </c>
      <c r="F51" s="26" t="inlineStr">
        <is>
          <t>Pokoj 4</t>
        </is>
      </c>
      <c r="G51" s="23" t="inlineStr">
        <is>
          <t>Pokoj 1</t>
        </is>
      </c>
      <c r="H51" s="24" t="inlineStr">
        <is>
          <t>Pokoj 2</t>
        </is>
      </c>
      <c r="I51" s="23" t="inlineStr">
        <is>
          <t>Pokoj 1</t>
        </is>
      </c>
      <c r="J51" s="26" t="inlineStr">
        <is>
          <t>Pokoj 4</t>
        </is>
      </c>
      <c r="K51" s="25" t="inlineStr">
        <is>
          <t>Pokoj 3</t>
        </is>
      </c>
    </row>
    <row r="52" ht="22" customHeight="1">
      <c r="A52" s="11" t="inlineStr">
        <is>
          <t>Týden 47</t>
        </is>
      </c>
      <c r="B52" s="22">
        <f>'Rozpis podle pokojů'!B53</f>
        <v/>
      </c>
      <c r="C52" s="22">
        <f>'Rozpis podle pokojů'!C53</f>
        <v/>
      </c>
      <c r="D52" s="25" t="inlineStr">
        <is>
          <t>Pokoj 3</t>
        </is>
      </c>
      <c r="E52" s="26" t="inlineStr">
        <is>
          <t>Pokoj 4</t>
        </is>
      </c>
      <c r="F52" s="23" t="inlineStr">
        <is>
          <t>Pokoj 1</t>
        </is>
      </c>
      <c r="G52" s="24" t="inlineStr">
        <is>
          <t>Pokoj 2</t>
        </is>
      </c>
      <c r="H52" s="23" t="inlineStr">
        <is>
          <t>Pokoj 1</t>
        </is>
      </c>
      <c r="I52" s="24" t="inlineStr">
        <is>
          <t>Pokoj 2</t>
        </is>
      </c>
      <c r="J52" s="25" t="inlineStr">
        <is>
          <t>Pokoj 3</t>
        </is>
      </c>
      <c r="K52" s="26" t="inlineStr">
        <is>
          <t>Pokoj 4</t>
        </is>
      </c>
    </row>
    <row r="53" ht="22" customHeight="1">
      <c r="A53" s="14" t="inlineStr">
        <is>
          <t>Týden 48</t>
        </is>
      </c>
      <c r="B53" s="27">
        <f>'Rozpis podle pokojů'!B54</f>
        <v/>
      </c>
      <c r="C53" s="27">
        <f>'Rozpis podle pokojů'!C54</f>
        <v/>
      </c>
      <c r="D53" s="26" t="inlineStr">
        <is>
          <t>Pokoj 4</t>
        </is>
      </c>
      <c r="E53" s="23" t="inlineStr">
        <is>
          <t>Pokoj 1</t>
        </is>
      </c>
      <c r="F53" s="24" t="inlineStr">
        <is>
          <t>Pokoj 2</t>
        </is>
      </c>
      <c r="G53" s="25" t="inlineStr">
        <is>
          <t>Pokoj 3</t>
        </is>
      </c>
      <c r="H53" s="24" t="inlineStr">
        <is>
          <t>Pokoj 2</t>
        </is>
      </c>
      <c r="I53" s="23" t="inlineStr">
        <is>
          <t>Pokoj 1</t>
        </is>
      </c>
      <c r="J53" s="26" t="inlineStr">
        <is>
          <t>Pokoj 4</t>
        </is>
      </c>
      <c r="K53" s="25" t="inlineStr">
        <is>
          <t>Pokoj 3</t>
        </is>
      </c>
    </row>
    <row r="54" ht="22" customHeight="1">
      <c r="A54" s="11" t="inlineStr">
        <is>
          <t>Týden 49</t>
        </is>
      </c>
      <c r="B54" s="22">
        <f>'Rozpis podle pokojů'!B55</f>
        <v/>
      </c>
      <c r="C54" s="22">
        <f>'Rozpis podle pokojů'!C55</f>
        <v/>
      </c>
      <c r="D54" s="23" t="inlineStr">
        <is>
          <t>Pokoj 1</t>
        </is>
      </c>
      <c r="E54" s="24" t="inlineStr">
        <is>
          <t>Pokoj 2</t>
        </is>
      </c>
      <c r="F54" s="25" t="inlineStr">
        <is>
          <t>Pokoj 3</t>
        </is>
      </c>
      <c r="G54" s="26" t="inlineStr">
        <is>
          <t>Pokoj 4</t>
        </is>
      </c>
      <c r="H54" s="23" t="inlineStr">
        <is>
          <t>Pokoj 1</t>
        </is>
      </c>
      <c r="I54" s="24" t="inlineStr">
        <is>
          <t>Pokoj 2</t>
        </is>
      </c>
      <c r="J54" s="25" t="inlineStr">
        <is>
          <t>Pokoj 3</t>
        </is>
      </c>
      <c r="K54" s="26" t="inlineStr">
        <is>
          <t>Pokoj 4</t>
        </is>
      </c>
    </row>
    <row r="55" ht="22" customHeight="1">
      <c r="A55" s="14" t="inlineStr">
        <is>
          <t>Týden 50</t>
        </is>
      </c>
      <c r="B55" s="27">
        <f>'Rozpis podle pokojů'!B56</f>
        <v/>
      </c>
      <c r="C55" s="27">
        <f>'Rozpis podle pokojů'!C56</f>
        <v/>
      </c>
      <c r="D55" s="24" t="inlineStr">
        <is>
          <t>Pokoj 2</t>
        </is>
      </c>
      <c r="E55" s="25" t="inlineStr">
        <is>
          <t>Pokoj 3</t>
        </is>
      </c>
      <c r="F55" s="26" t="inlineStr">
        <is>
          <t>Pokoj 4</t>
        </is>
      </c>
      <c r="G55" s="23" t="inlineStr">
        <is>
          <t>Pokoj 1</t>
        </is>
      </c>
      <c r="H55" s="24" t="inlineStr">
        <is>
          <t>Pokoj 2</t>
        </is>
      </c>
      <c r="I55" s="23" t="inlineStr">
        <is>
          <t>Pokoj 1</t>
        </is>
      </c>
      <c r="J55" s="26" t="inlineStr">
        <is>
          <t>Pokoj 4</t>
        </is>
      </c>
      <c r="K55" s="25" t="inlineStr">
        <is>
          <t>Pokoj 3</t>
        </is>
      </c>
    </row>
    <row r="56" ht="22" customHeight="1">
      <c r="A56" s="11" t="inlineStr">
        <is>
          <t>Týden 51</t>
        </is>
      </c>
      <c r="B56" s="22">
        <f>'Rozpis podle pokojů'!B57</f>
        <v/>
      </c>
      <c r="C56" s="22">
        <f>'Rozpis podle pokojů'!C57</f>
        <v/>
      </c>
      <c r="D56" s="25" t="inlineStr">
        <is>
          <t>Pokoj 3</t>
        </is>
      </c>
      <c r="E56" s="26" t="inlineStr">
        <is>
          <t>Pokoj 4</t>
        </is>
      </c>
      <c r="F56" s="23" t="inlineStr">
        <is>
          <t>Pokoj 1</t>
        </is>
      </c>
      <c r="G56" s="24" t="inlineStr">
        <is>
          <t>Pokoj 2</t>
        </is>
      </c>
      <c r="H56" s="23" t="inlineStr">
        <is>
          <t>Pokoj 1</t>
        </is>
      </c>
      <c r="I56" s="24" t="inlineStr">
        <is>
          <t>Pokoj 2</t>
        </is>
      </c>
      <c r="J56" s="25" t="inlineStr">
        <is>
          <t>Pokoj 3</t>
        </is>
      </c>
      <c r="K56" s="26" t="inlineStr">
        <is>
          <t>Pokoj 4</t>
        </is>
      </c>
    </row>
    <row r="57" ht="22" customHeight="1">
      <c r="A57" s="14" t="inlineStr">
        <is>
          <t>Týden 52</t>
        </is>
      </c>
      <c r="B57" s="27">
        <f>'Rozpis podle pokojů'!B58</f>
        <v/>
      </c>
      <c r="C57" s="27">
        <f>'Rozpis podle pokojů'!C58</f>
        <v/>
      </c>
      <c r="D57" s="26" t="inlineStr">
        <is>
          <t>Pokoj 4</t>
        </is>
      </c>
      <c r="E57" s="23" t="inlineStr">
        <is>
          <t>Pokoj 1</t>
        </is>
      </c>
      <c r="F57" s="24" t="inlineStr">
        <is>
          <t>Pokoj 2</t>
        </is>
      </c>
      <c r="G57" s="25" t="inlineStr">
        <is>
          <t>Pokoj 3</t>
        </is>
      </c>
      <c r="H57" s="24" t="inlineStr">
        <is>
          <t>Pokoj 2</t>
        </is>
      </c>
      <c r="I57" s="23" t="inlineStr">
        <is>
          <t>Pokoj 1</t>
        </is>
      </c>
      <c r="J57" s="26" t="inlineStr">
        <is>
          <t>Pokoj 4</t>
        </is>
      </c>
      <c r="K57" s="25" t="inlineStr">
        <is>
          <t>Pokoj 3</t>
        </is>
      </c>
    </row>
  </sheetData>
  <mergeCells count="5">
    <mergeCell ref="H4:K4"/>
    <mergeCell ref="A2:K2"/>
    <mergeCell ref="A4:C4"/>
    <mergeCell ref="A1:K1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26" customHeight="1">
      <c r="A1" s="1" t="inlineStr">
        <is>
          <t>📖 NÁPLŇ ÚKLIDOVÝCH SLUŽEB A PRAVIDLA BYTU</t>
        </is>
      </c>
    </row>
    <row r="2" ht="18" customHeight="1">
      <c r="A2" s="2" t="inlineStr">
        <is>
          <t>Přesný rozpis činností pro každou službu, aby každý věděl, co má udělat a předešlo se dohadům.</t>
        </is>
      </c>
    </row>
    <row r="4" ht="24" customHeight="1">
      <c r="A4" s="28" t="inlineStr">
        <is>
          <t>🧹  SCHODY   —   (Společné prostory domu)</t>
        </is>
      </c>
      <c r="B4" s="29" t="n"/>
      <c r="C4" s="29" t="n"/>
      <c r="D4" s="29" t="n"/>
      <c r="E4" s="29" t="n"/>
      <c r="F4" s="30" t="n"/>
    </row>
    <row r="5" ht="20" customHeight="1">
      <c r="A5" s="31" t="inlineStr">
        <is>
          <t>•</t>
        </is>
      </c>
      <c r="B5" s="32" t="inlineStr">
        <is>
          <t>Zamést a vytřít celé naše patro (prostor chodby přímo před bytem).</t>
        </is>
      </c>
      <c r="F5" s="33" t="n"/>
    </row>
    <row r="6" ht="20" customHeight="1">
      <c r="A6" s="31" t="inlineStr">
        <is>
          <t>•</t>
        </is>
      </c>
      <c r="B6" s="32" t="inlineStr">
        <is>
          <t>Zamést a vytřít dvoje schody směrem dolů včetně mezipatra.</t>
        </is>
      </c>
      <c r="F6" s="33" t="n"/>
    </row>
    <row r="7" ht="20" customHeight="1">
      <c r="A7" s="31" t="inlineStr">
        <is>
          <t>•</t>
        </is>
      </c>
      <c r="B7" s="32" t="inlineStr">
        <is>
          <t>Zkontrolovat, že na mezipatře / schodech nezůstaly žádné odpadky, letáky nebo kamínky.</t>
        </is>
      </c>
      <c r="F7" s="33" t="n"/>
    </row>
    <row r="8" ht="20" customHeight="1">
      <c r="A8" s="31" t="inlineStr">
        <is>
          <t>•</t>
        </is>
      </c>
      <c r="B8" s="32" t="inlineStr">
        <is>
          <t>Doporučený čas splnění: pátek odpoledne nebo sobota dopoledne.</t>
        </is>
      </c>
      <c r="F8" s="33" t="n"/>
    </row>
    <row r="9" ht="6" customHeight="1">
      <c r="A9" s="34" t="n"/>
      <c r="B9" s="35" t="n"/>
      <c r="C9" s="35" t="n"/>
      <c r="D9" s="35" t="n"/>
      <c r="E9" s="35" t="n"/>
      <c r="F9" s="36" t="n"/>
    </row>
    <row r="11" ht="24" customHeight="1">
      <c r="A11" s="37" t="inlineStr">
        <is>
          <t>🍳  KUCHYŇ   —   (Společná zóna vaření)</t>
        </is>
      </c>
      <c r="B11" s="38" t="n"/>
      <c r="C11" s="38" t="n"/>
      <c r="D11" s="38" t="n"/>
      <c r="E11" s="38" t="n"/>
      <c r="F11" s="39" t="n"/>
    </row>
    <row r="12" ht="20" customHeight="1">
      <c r="A12" s="31" t="inlineStr">
        <is>
          <t>•</t>
        </is>
      </c>
      <c r="B12" s="32" t="inlineStr">
        <is>
          <t>Starat se o kuchyňskou linku, dřez a varnou desku (otírat mastnotu a drobky).</t>
        </is>
      </c>
      <c r="F12" s="40" t="n"/>
    </row>
    <row r="13" ht="20" customHeight="1">
      <c r="A13" s="31" t="inlineStr">
        <is>
          <t>•</t>
        </is>
      </c>
      <c r="B13" s="32" t="inlineStr">
        <is>
          <t>Průběžně vyndávat umytou myčku a uklízet nádobí do skříněk.</t>
        </is>
      </c>
      <c r="F13" s="40" t="n"/>
    </row>
    <row r="14" ht="20" customHeight="1">
      <c r="A14" s="31" t="inlineStr">
        <is>
          <t>•</t>
        </is>
      </c>
      <c r="B14" s="32" t="inlineStr">
        <is>
          <t>Zapnout myčku, jakmile se naplní (nenechávat špinavé nádobí hromadit ve dřezu).</t>
        </is>
      </c>
      <c r="F14" s="40" t="n"/>
    </row>
    <row r="15" ht="20" customHeight="1">
      <c r="A15" s="31" t="inlineStr">
        <is>
          <t>•</t>
        </is>
      </c>
      <c r="B15" s="32" t="inlineStr">
        <is>
          <t>Pravidelně zametat a vytírat podlahu v kuchyni (dle potřeby i v týdnu, min. 1× důkladně na závěr).</t>
        </is>
      </c>
      <c r="F15" s="40" t="n"/>
    </row>
    <row r="16" ht="6" customHeight="1">
      <c r="A16" s="41" t="n"/>
      <c r="B16" s="42" t="n"/>
      <c r="C16" s="42" t="n"/>
      <c r="D16" s="42" t="n"/>
      <c r="E16" s="42" t="n"/>
      <c r="F16" s="43" t="n"/>
    </row>
    <row r="18" ht="24" customHeight="1">
      <c r="A18" s="44" t="inlineStr">
        <is>
          <t>🗑️  ODPADKY   —   (Čistý a voňavý byt)</t>
        </is>
      </c>
      <c r="B18" s="45" t="n"/>
      <c r="C18" s="45" t="n"/>
      <c r="D18" s="45" t="n"/>
      <c r="E18" s="45" t="n"/>
      <c r="F18" s="46" t="n"/>
    </row>
    <row r="19" ht="20" customHeight="1">
      <c r="A19" s="31" t="inlineStr">
        <is>
          <t>•</t>
        </is>
      </c>
      <c r="B19" s="32" t="inlineStr">
        <is>
          <t>Pravidelně vynášet pytle se směsným odpadem, jakmile jsou plné (nečekat na přetečení).</t>
        </is>
      </c>
      <c r="F19" s="47" t="n"/>
    </row>
    <row r="20" ht="20" customHeight="1">
      <c r="A20" s="31" t="inlineStr">
        <is>
          <t>•</t>
        </is>
      </c>
      <c r="B20" s="32" t="inlineStr">
        <is>
          <t>Po vynesení koše VŽDY ihned nasadit nový čistý pytel!</t>
        </is>
      </c>
      <c r="F20" s="47" t="n"/>
    </row>
    <row r="21" ht="20" customHeight="1">
      <c r="A21" s="31" t="inlineStr">
        <is>
          <t>•</t>
        </is>
      </c>
      <c r="B21" s="32" t="inlineStr">
        <is>
          <t>Vynášet tříděný odpad (plast, papír, plechovky, sklo) do příslušných kontejnerů.</t>
        </is>
      </c>
      <c r="F21" s="47" t="n"/>
    </row>
    <row r="22" ht="20" customHeight="1">
      <c r="A22" s="31" t="inlineStr">
        <is>
          <t>•</t>
        </is>
      </c>
      <c r="B22" s="32" t="inlineStr">
        <is>
          <t>Udržovat prostor kolem odpadkových košů čistý (žádné skvrny ani kapky na podlaze).</t>
        </is>
      </c>
      <c r="F22" s="47" t="n"/>
    </row>
    <row r="23" ht="6" customHeight="1">
      <c r="A23" s="48" t="n"/>
      <c r="B23" s="49" t="n"/>
      <c r="C23" s="49" t="n"/>
      <c r="D23" s="49" t="n"/>
      <c r="E23" s="49" t="n"/>
      <c r="F23" s="50" t="n"/>
    </row>
    <row r="25" ht="24" customHeight="1">
      <c r="A25" s="51" t="inlineStr">
        <is>
          <t>🛋️  PŘEDSÍŇ   —   (Vstupní společný prostor)</t>
        </is>
      </c>
      <c r="B25" s="52" t="n"/>
      <c r="C25" s="52" t="n"/>
      <c r="D25" s="52" t="n"/>
      <c r="E25" s="52" t="n"/>
      <c r="F25" s="53" t="n"/>
    </row>
    <row r="26" ht="20" customHeight="1">
      <c r="A26" s="31" t="inlineStr">
        <is>
          <t>•</t>
        </is>
      </c>
      <c r="B26" s="32" t="inlineStr">
        <is>
          <t>Zametat a vytírat podlahu v předsíni (zejména rohožku, vstup a prostor botníku).</t>
        </is>
      </c>
      <c r="F26" s="54" t="n"/>
    </row>
    <row r="27" ht="20" customHeight="1">
      <c r="A27" s="31" t="inlineStr">
        <is>
          <t>•</t>
        </is>
      </c>
      <c r="B27" s="32" t="inlineStr">
        <is>
          <t>Urovnat boty v botníku a věšáky u vchodu.</t>
        </is>
      </c>
      <c r="F27" s="54" t="n"/>
    </row>
    <row r="28" ht="20" customHeight="1">
      <c r="A28" s="31" t="inlineStr">
        <is>
          <t>•</t>
        </is>
      </c>
      <c r="B28" s="32" t="inlineStr">
        <is>
          <t>Stlát gauč / postel v předsíni, složit deky a polštáře, udržovat estetický pořádek.</t>
        </is>
      </c>
      <c r="F28" s="54" t="n"/>
    </row>
    <row r="29" ht="20" customHeight="1">
      <c r="A29" s="31" t="inlineStr">
        <is>
          <t>•</t>
        </is>
      </c>
      <c r="B29" s="32" t="inlineStr">
        <is>
          <t>Otřít prach na botníku a povrchu skříněk.</t>
        </is>
      </c>
      <c r="F29" s="54" t="n"/>
    </row>
    <row r="30" ht="6" customHeight="1">
      <c r="A30" s="55" t="n"/>
      <c r="B30" s="56" t="n"/>
      <c r="C30" s="56" t="n"/>
      <c r="D30" s="56" t="n"/>
      <c r="E30" s="56" t="n"/>
      <c r="F30" s="57" t="n"/>
    </row>
    <row r="32" ht="24" customHeight="1">
      <c r="A32" s="58" t="inlineStr">
        <is>
          <t>🚿  KOUPELNA (Privátní: P1+P2 nebo P3+P4)   —   (Pokoje 1 &amp; 2 mají svou • Pokoje 3 &amp; 4 mají svou)</t>
        </is>
      </c>
      <c r="B32" s="29" t="n"/>
      <c r="C32" s="29" t="n"/>
      <c r="D32" s="29" t="n"/>
      <c r="E32" s="29" t="n"/>
      <c r="F32" s="30" t="n"/>
    </row>
    <row r="33" ht="20" customHeight="1">
      <c r="A33" s="31" t="inlineStr">
        <is>
          <t>•</t>
        </is>
      </c>
      <c r="B33" s="32" t="inlineStr">
        <is>
          <t>Vyčistit umyvadlo, baterii a zrcadlo (odstranit zaschlou vodu a zubní pastu).</t>
        </is>
      </c>
      <c r="F33" s="33" t="n"/>
    </row>
    <row r="34" ht="20" customHeight="1">
      <c r="A34" s="31" t="inlineStr">
        <is>
          <t>•</t>
        </is>
      </c>
      <c r="B34" s="32" t="inlineStr">
        <is>
          <t>Důkladně vymýt sprchový kout / vanu a odstranit vlasy ze sítka/odpadu.</t>
        </is>
      </c>
      <c r="F34" s="33" t="n"/>
    </row>
    <row r="35" ht="20" customHeight="1">
      <c r="A35" s="31" t="inlineStr">
        <is>
          <t>•</t>
        </is>
      </c>
      <c r="B35" s="32" t="inlineStr">
        <is>
          <t>Vytřít podlahu v koupelně.</t>
        </is>
      </c>
      <c r="F35" s="33" t="n"/>
    </row>
    <row r="36" ht="20" customHeight="1">
      <c r="A36" s="31" t="inlineStr">
        <is>
          <t>•</t>
        </is>
      </c>
      <c r="B36" s="32" t="inlineStr">
        <is>
          <t>Zkontrolovat předložku a vyvětrat vlhkost.</t>
        </is>
      </c>
      <c r="F36" s="33" t="n"/>
    </row>
    <row r="37" ht="6" customHeight="1">
      <c r="A37" s="34" t="n"/>
      <c r="B37" s="35" t="n"/>
      <c r="C37" s="35" t="n"/>
      <c r="D37" s="35" t="n"/>
      <c r="E37" s="35" t="n"/>
      <c r="F37" s="36" t="n"/>
    </row>
    <row r="39" ht="24" customHeight="1">
      <c r="A39" s="59" t="inlineStr">
        <is>
          <t>🚽  ZÁCHOD (Privátní: P1+P2 nebo P3+P4)   —   (Pokoje 1 &amp; 2 mají své • Pokoje 3 &amp; 4 mají své)</t>
        </is>
      </c>
      <c r="B39" s="60" t="n"/>
      <c r="C39" s="60" t="n"/>
      <c r="D39" s="60" t="n"/>
      <c r="E39" s="60" t="n"/>
      <c r="F39" s="61" t="n"/>
    </row>
    <row r="40" ht="20" customHeight="1">
      <c r="A40" s="31" t="inlineStr">
        <is>
          <t>•</t>
        </is>
      </c>
      <c r="B40" s="32" t="inlineStr">
        <is>
          <t>Důkladně vyčistit mísu WC čističem a štětkou.</t>
        </is>
      </c>
      <c r="F40" s="62" t="n"/>
    </row>
    <row r="41" ht="20" customHeight="1">
      <c r="A41" s="31" t="inlineStr">
        <is>
          <t>•</t>
        </is>
      </c>
      <c r="B41" s="32" t="inlineStr">
        <is>
          <t>Dezinfekčním sprejem/hadříkem otřít prkénko (shora i zespodu), splachovadlo a okolí.</t>
        </is>
      </c>
      <c r="F41" s="62" t="n"/>
    </row>
    <row r="42" ht="20" customHeight="1">
      <c r="A42" s="31" t="inlineStr">
        <is>
          <t>•</t>
        </is>
      </c>
      <c r="B42" s="32" t="inlineStr">
        <is>
          <t>Zkontrolovat stav toaletního papíru a včas doplnit náhradní ruličky.</t>
        </is>
      </c>
      <c r="F42" s="62" t="n"/>
    </row>
    <row r="43" ht="20" customHeight="1">
      <c r="A43" s="31" t="inlineStr">
        <is>
          <t>•</t>
        </is>
      </c>
      <c r="B43" s="32" t="inlineStr">
        <is>
          <t>Vytřít podlahu na záchodě.</t>
        </is>
      </c>
      <c r="F43" s="62" t="n"/>
    </row>
    <row r="44" ht="6" customHeight="1">
      <c r="A44" s="63" t="n"/>
      <c r="B44" s="64" t="n"/>
      <c r="C44" s="64" t="n"/>
      <c r="D44" s="64" t="n"/>
      <c r="E44" s="64" t="n"/>
      <c r="F44" s="65" t="n"/>
    </row>
    <row r="46" ht="24" customHeight="1">
      <c r="A46" s="66" t="inlineStr">
        <is>
          <t>⚖️ ZLATÁ PRAVIDLA SPOLUBYDLENÍ</t>
        </is>
      </c>
    </row>
    <row r="47" ht="22" customHeight="1">
      <c r="A47" s="67" t="inlineStr">
        <is>
          <t>★</t>
        </is>
      </c>
      <c r="B47" s="68" t="inlineStr">
        <is>
          <t>Předání služeb:</t>
        </is>
      </c>
      <c r="C47" s="69" t="inlineStr">
        <is>
          <t>Služba se oficiálně předává v NEDĚLI do 20:00 (do té doby je vše hotovo).</t>
        </is>
      </c>
      <c r="D47" s="70" t="n"/>
      <c r="E47" s="70" t="n"/>
      <c r="F47" s="70" t="n"/>
    </row>
    <row r="48" ht="22" customHeight="1">
      <c r="A48" s="67" t="inlineStr">
        <is>
          <t>★</t>
        </is>
      </c>
      <c r="B48" s="68" t="inlineStr">
        <is>
          <t>Nepřítomnost:</t>
        </is>
      </c>
      <c r="C48" s="69" t="inlineStr">
        <is>
          <t>Když někdo odjíždí na týden pryč, je jeho povinností si zajistit výměnu s jiným pokojem.</t>
        </is>
      </c>
      <c r="D48" s="70" t="n"/>
      <c r="E48" s="70" t="n"/>
      <c r="F48" s="70" t="n"/>
    </row>
    <row r="49" ht="22" customHeight="1">
      <c r="A49" s="67" t="inlineStr">
        <is>
          <t>★</t>
        </is>
      </c>
      <c r="B49" s="68" t="inlineStr">
        <is>
          <t>Průběžný pořádek:</t>
        </is>
      </c>
      <c r="C49" s="69" t="inlineStr">
        <is>
          <t>Služba neuklízí cizí nepořádek! Každý po sobě ihned utře linku, když něco rozlije, a udržuje pořádek.</t>
        </is>
      </c>
      <c r="D49" s="70" t="n"/>
      <c r="E49" s="70" t="n"/>
      <c r="F49" s="70" t="n"/>
    </row>
    <row r="50" ht="22" customHeight="1">
      <c r="A50" s="67" t="inlineStr">
        <is>
          <t>★</t>
        </is>
      </c>
      <c r="B50" s="68" t="inlineStr">
        <is>
          <t>Žádné nádobí ve dřezu:</t>
        </is>
      </c>
      <c r="C50" s="69" t="inlineStr">
        <is>
          <t>Ve dřezu nesmí zůstávat nádobí – plný dřez se nedá používat. Při plné myčce odložit vedle na linku a pak do myčky, nebo hned umýt.</t>
        </is>
      </c>
      <c r="D50" s="70" t="n"/>
      <c r="E50" s="70" t="n"/>
      <c r="F50" s="70" t="n"/>
    </row>
    <row r="51" ht="22" customHeight="1">
      <c r="A51" s="67" t="inlineStr">
        <is>
          <t>★</t>
        </is>
      </c>
      <c r="B51" s="68" t="inlineStr">
        <is>
          <t>Spotřební materiál a chemie:</t>
        </is>
      </c>
      <c r="C51" s="69" t="inlineStr">
        <is>
          <t>Když dochází jar, tablety do myčky, WC gel, toaletní papír nebo pytle do koše, tak to koupíš a hodíš do SettleUp.</t>
        </is>
      </c>
      <c r="D51" s="70" t="n"/>
      <c r="E51" s="70" t="n"/>
      <c r="F51" s="70" t="n"/>
    </row>
  </sheetData>
  <mergeCells count="38">
    <mergeCell ref="B7:F7"/>
    <mergeCell ref="C48:F48"/>
    <mergeCell ref="A46:F46"/>
    <mergeCell ref="A18:F18"/>
    <mergeCell ref="B22:F22"/>
    <mergeCell ref="B27:F27"/>
    <mergeCell ref="B21:F21"/>
    <mergeCell ref="B43:F43"/>
    <mergeCell ref="B12:F12"/>
    <mergeCell ref="C49:F49"/>
    <mergeCell ref="B42:F42"/>
    <mergeCell ref="A32:F32"/>
    <mergeCell ref="A4:F4"/>
    <mergeCell ref="B14:F14"/>
    <mergeCell ref="B8:F8"/>
    <mergeCell ref="B13:F13"/>
    <mergeCell ref="B29:F29"/>
    <mergeCell ref="A1:G1"/>
    <mergeCell ref="B34:F34"/>
    <mergeCell ref="B28:F28"/>
    <mergeCell ref="B19:F19"/>
    <mergeCell ref="C47:F47"/>
    <mergeCell ref="A39:F39"/>
    <mergeCell ref="B40:F40"/>
    <mergeCell ref="C50:F50"/>
    <mergeCell ref="A11:F11"/>
    <mergeCell ref="B6:F6"/>
    <mergeCell ref="B20:F20"/>
    <mergeCell ref="B15:F15"/>
    <mergeCell ref="B33:F33"/>
    <mergeCell ref="B5:F5"/>
    <mergeCell ref="A2:G2"/>
    <mergeCell ref="B36:F36"/>
    <mergeCell ref="C51:F51"/>
    <mergeCell ref="B26:F26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2026-10-02T13:38:49Z</dcterms:created>
  <dcterms:modified xmlns:dcterms="http://purl.org/dc/terms/" xmlns:xsi="http://www.w3.org/2001/XMLSchema-instance" xsi:type="dcterms:W3CDTF">2026-10-02T13:38:49Z</dcterms:modified>
</cp:coreProperties>
</file>